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Questa_cartella_di_lavoro"/>
  <bookViews>
    <workbookView visibility="visible" minimized="0" showHorizontalScroll="1" showVerticalScroll="1" showSheetTabs="1" xWindow="31020" yWindow="10200" windowWidth="25230" windowHeight="12825" tabRatio="600" firstSheet="21" activeTab="30" autoFilterDateGrouping="1"/>
  </bookViews>
  <sheets>
    <sheet xmlns:r="http://schemas.openxmlformats.org/officeDocument/2006/relationships" name="ASS1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F02" sheetId="3" state="visible" r:id="rId3"/>
    <sheet xmlns:r="http://schemas.openxmlformats.org/officeDocument/2006/relationships" name="F03" sheetId="4" state="visible" r:id="rId4"/>
    <sheet xmlns:r="http://schemas.openxmlformats.org/officeDocument/2006/relationships" name="F04" sheetId="5" state="visible" r:id="rId5"/>
    <sheet xmlns:r="http://schemas.openxmlformats.org/officeDocument/2006/relationships" name="F05" sheetId="6" state="visible" r:id="rId6"/>
    <sheet xmlns:r="http://schemas.openxmlformats.org/officeDocument/2006/relationships" name="F06" sheetId="7" state="visible" r:id="rId7"/>
    <sheet xmlns:r="http://schemas.openxmlformats.org/officeDocument/2006/relationships" name="F07" sheetId="8" state="visible" r:id="rId8"/>
    <sheet xmlns:r="http://schemas.openxmlformats.org/officeDocument/2006/relationships" name="F08" sheetId="9" state="visible" r:id="rId9"/>
    <sheet xmlns:r="http://schemas.openxmlformats.org/officeDocument/2006/relationships" name="F09" sheetId="10" state="visible" r:id="rId10"/>
    <sheet xmlns:r="http://schemas.openxmlformats.org/officeDocument/2006/relationships" name="F10" sheetId="11" state="visible" r:id="rId11"/>
    <sheet xmlns:r="http://schemas.openxmlformats.org/officeDocument/2006/relationships" name="F11" sheetId="12" state="visible" r:id="rId12"/>
    <sheet xmlns:r="http://schemas.openxmlformats.org/officeDocument/2006/relationships" name="ISOLA1" sheetId="13" state="visible" r:id="rId13"/>
    <sheet xmlns:r="http://schemas.openxmlformats.org/officeDocument/2006/relationships" name="ISOLA5" sheetId="14" state="visible" r:id="rId14"/>
    <sheet xmlns:r="http://schemas.openxmlformats.org/officeDocument/2006/relationships" name="M1030" sheetId="15" state="visible" r:id="rId15"/>
    <sheet xmlns:r="http://schemas.openxmlformats.org/officeDocument/2006/relationships" name="MANUA" sheetId="16" state="visible" r:id="rId16"/>
    <sheet xmlns:r="http://schemas.openxmlformats.org/officeDocument/2006/relationships" name="MG5" sheetId="17" state="visible" r:id="rId17"/>
    <sheet xmlns:r="http://schemas.openxmlformats.org/officeDocument/2006/relationships" name="MG6" sheetId="18" state="visible" r:id="rId18"/>
    <sheet xmlns:r="http://schemas.openxmlformats.org/officeDocument/2006/relationships" name="MG7" sheetId="19" state="visible" r:id="rId19"/>
    <sheet xmlns:r="http://schemas.openxmlformats.org/officeDocument/2006/relationships" name="MG8" sheetId="20" state="visible" r:id="rId20"/>
    <sheet xmlns:r="http://schemas.openxmlformats.org/officeDocument/2006/relationships" name="MMAN" sheetId="21" state="visible" r:id="rId21"/>
    <sheet xmlns:r="http://schemas.openxmlformats.org/officeDocument/2006/relationships" name="MP1" sheetId="22" state="visible" r:id="rId22"/>
    <sheet xmlns:r="http://schemas.openxmlformats.org/officeDocument/2006/relationships" name="MP2" sheetId="23" state="visible" r:id="rId23"/>
    <sheet xmlns:r="http://schemas.openxmlformats.org/officeDocument/2006/relationships" name="MP3" sheetId="24" state="visible" r:id="rId24"/>
    <sheet xmlns:r="http://schemas.openxmlformats.org/officeDocument/2006/relationships" name="MP4" sheetId="25" state="visible" r:id="rId25"/>
    <sheet xmlns:r="http://schemas.openxmlformats.org/officeDocument/2006/relationships" name="SERCAM" sheetId="26" state="visible" r:id="rId26"/>
    <sheet xmlns:r="http://schemas.openxmlformats.org/officeDocument/2006/relationships" name="TMPM2" sheetId="27" state="visible" r:id="rId27"/>
    <sheet xmlns:r="http://schemas.openxmlformats.org/officeDocument/2006/relationships" name="TMPMA2" sheetId="28" state="visible" r:id="rId28"/>
    <sheet xmlns:r="http://schemas.openxmlformats.org/officeDocument/2006/relationships" name="TROV" sheetId="29" state="visible" r:id="rId29"/>
    <sheet xmlns:r="http://schemas.openxmlformats.org/officeDocument/2006/relationships" name="COMPRESSORI" sheetId="30" state="visible" r:id="rId30"/>
    <sheet xmlns:r="http://schemas.openxmlformats.org/officeDocument/2006/relationships" name="Tabelle" sheetId="31" state="visible" r:id="rId31"/>
    <sheet xmlns:r="http://schemas.openxmlformats.org/officeDocument/2006/relationships" name="ICOPOWER" sheetId="32" state="visible" r:id="rId32"/>
    <sheet xmlns:r="http://schemas.openxmlformats.org/officeDocument/2006/relationships" name="Consolidato" sheetId="33" state="visible" r:id="rId33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\ &quot;€&quot;"/>
    <numFmt numFmtId="165" formatCode="#,##0.00000\ &quot;€&quot;"/>
    <numFmt numFmtId="166" formatCode="#,##0.0000\ &quot;€&quot;"/>
    <numFmt numFmtId="167" formatCode="_-* #,##0.00\ &quot;€&quot;_-;\-* #,##0.00\ &quot;€&quot;_-;_-* &quot;-&quot;??\ &quot;€&quot;_-;_-@_-"/>
    <numFmt numFmtId="168" formatCode="_-* #,##0.0000\ &quot;€&quot;_-;\-* #,##0.0000\ &quot;€&quot;_-;_-* &quot;-&quot;??\ &quot;€&quot;_-;_-@_-"/>
    <numFmt numFmtId="169" formatCode="0.0"/>
    <numFmt numFmtId="170" formatCode="_-* #,##0.0_-;\-* #,##0.0_-;_-* &quot;-&quot;??_-;_-@_-"/>
  </numFmts>
  <fonts count="7"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ptos Narrow"/>
      <family val="2"/>
      <color theme="1"/>
      <sz val="16"/>
      <scheme val="minor"/>
    </font>
    <font>
      <name val="Aptos Narrow"/>
      <family val="2"/>
      <color theme="1"/>
      <sz val="7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6" fillId="0" borderId="0"/>
    <xf numFmtId="44" fontId="6" fillId="0" borderId="0"/>
    <xf numFmtId="43" fontId="6" fillId="0" borderId="0"/>
  </cellStyleXfs>
  <cellXfs count="93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5" fontId="1" fillId="0" borderId="1" applyAlignment="1" pivotButton="0" quotePrefix="0" xfId="0">
      <alignment horizontal="center" vertical="center"/>
    </xf>
    <xf numFmtId="17" fontId="0" fillId="0" borderId="0" applyAlignment="1" pivotButton="0" quotePrefix="0" xfId="0">
      <alignment horizontal="left"/>
    </xf>
    <xf numFmtId="165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0" fillId="8" borderId="0" pivotButton="0" quotePrefix="0" xfId="0"/>
    <xf numFmtId="0" fontId="0" fillId="8" borderId="0" applyAlignment="1" pivotButton="0" quotePrefix="0" xfId="0">
      <alignment wrapText="1"/>
    </xf>
    <xf numFmtId="17" fontId="0" fillId="2" borderId="1" pivotButton="0" quotePrefix="0" xfId="0"/>
    <xf numFmtId="17" fontId="0" fillId="2" borderId="1" applyAlignment="1" pivotButton="0" quotePrefix="0" xfId="0">
      <alignment wrapText="1"/>
    </xf>
    <xf numFmtId="17" fontId="0" fillId="0" borderId="0" applyAlignment="1" pivotButton="0" quotePrefix="0" xfId="0">
      <alignment wrapText="1"/>
    </xf>
    <xf numFmtId="0" fontId="0" fillId="6" borderId="0" pivotButton="0" quotePrefix="0" xfId="0"/>
    <xf numFmtId="17" fontId="0" fillId="0" borderId="0" applyAlignment="1" pivotButton="0" quotePrefix="0" xfId="0">
      <alignment horizontal="left" wrapText="1"/>
    </xf>
    <xf numFmtId="0" fontId="0" fillId="2" borderId="0" pivotButton="0" quotePrefix="0" xfId="0"/>
    <xf numFmtId="0" fontId="1" fillId="0" borderId="1" applyAlignment="1" pivotButton="0" quotePrefix="0" xfId="0">
      <alignment horizontal="right" vertical="center"/>
    </xf>
    <xf numFmtId="0" fontId="1" fillId="0" borderId="2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/>
    </xf>
    <xf numFmtId="165" fontId="1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0" fillId="0" borderId="2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right" vertical="center"/>
    </xf>
    <xf numFmtId="0" fontId="0" fillId="0" borderId="3" pivotButton="0" quotePrefix="0" xfId="0"/>
    <xf numFmtId="166" fontId="0" fillId="0" borderId="0" pivotButton="0" quotePrefix="0" xfId="0"/>
    <xf numFmtId="167" fontId="0" fillId="0" borderId="1" applyAlignment="1" pivotButton="0" quotePrefix="0" xfId="1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1" pivotButton="0" quotePrefix="0" xfId="0"/>
    <xf numFmtId="168" fontId="1" fillId="0" borderId="1" applyAlignment="1" pivotButton="0" quotePrefix="0" xfId="1">
      <alignment horizontal="center" vertical="center"/>
    </xf>
    <xf numFmtId="168" fontId="0" fillId="0" borderId="1" applyAlignment="1" pivotButton="0" quotePrefix="0" xfId="1">
      <alignment horizontal="right" vertical="center"/>
    </xf>
    <xf numFmtId="0" fontId="0" fillId="0" borderId="0" applyAlignment="1" pivotButton="0" quotePrefix="0" xfId="0">
      <alignment horizontal="right" vertical="center"/>
    </xf>
    <xf numFmtId="167" fontId="5" fillId="3" borderId="1" applyAlignment="1" pivotButton="0" quotePrefix="0" xfId="1">
      <alignment horizontal="center" vertical="center"/>
    </xf>
    <xf numFmtId="167" fontId="0" fillId="0" borderId="0" applyAlignment="1" pivotButton="0" quotePrefix="0" xfId="1">
      <alignment horizontal="center" vertical="center"/>
    </xf>
    <xf numFmtId="17" fontId="0" fillId="12" borderId="1" applyAlignment="1" pivotButton="0" quotePrefix="0" xfId="0">
      <alignment horizontal="left"/>
    </xf>
    <xf numFmtId="0" fontId="0" fillId="7" borderId="1" applyAlignment="1" pivotButton="0" quotePrefix="0" xfId="0">
      <alignment wrapText="1"/>
    </xf>
    <xf numFmtId="17" fontId="0" fillId="0" borderId="1" applyAlignment="1" pivotButton="0" quotePrefix="0" xfId="0">
      <alignment horizontal="left" wrapText="1"/>
    </xf>
    <xf numFmtId="0" fontId="0" fillId="13" borderId="1" applyAlignment="1" pivotButton="0" quotePrefix="0" xfId="0">
      <alignment wrapText="1"/>
    </xf>
    <xf numFmtId="0" fontId="0" fillId="14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169" fontId="0" fillId="0" borderId="0" pivotButton="0" quotePrefix="0" xfId="0"/>
    <xf numFmtId="170" fontId="0" fillId="5" borderId="8" pivotButton="0" quotePrefix="0" xfId="2"/>
    <xf numFmtId="0" fontId="0" fillId="0" borderId="9" pivotButton="0" quotePrefix="0" xfId="0"/>
    <xf numFmtId="0" fontId="0" fillId="0" borderId="10" pivotButton="0" quotePrefix="0" xfId="0"/>
    <xf numFmtId="169" fontId="0" fillId="0" borderId="10" pivotButton="0" quotePrefix="0" xfId="0"/>
    <xf numFmtId="170" fontId="0" fillId="5" borderId="11" pivotButton="0" quotePrefix="0" xfId="2"/>
    <xf numFmtId="0" fontId="1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9" borderId="1" applyAlignment="1" pivotButton="0" quotePrefix="0" xfId="0">
      <alignment horizontal="center" wrapText="1"/>
    </xf>
    <xf numFmtId="0" fontId="0" fillId="0" borderId="3" pivotButton="0" quotePrefix="0" xfId="0"/>
    <xf numFmtId="17" fontId="0" fillId="0" borderId="0" applyAlignment="1" pivotButton="0" quotePrefix="0" xfId="0">
      <alignment horizontal="left"/>
    </xf>
    <xf numFmtId="0" fontId="0" fillId="0" borderId="0" pivotButton="0" quotePrefix="0" xfId="0"/>
    <xf numFmtId="0" fontId="0" fillId="6" borderId="0" applyAlignment="1" pivotButton="0" quotePrefix="0" xfId="0">
      <alignment horizontal="left"/>
    </xf>
    <xf numFmtId="17" fontId="0" fillId="0" borderId="0" applyAlignment="1" pivotButton="0" quotePrefix="0" xfId="0">
      <alignment horizontal="left" wrapText="1"/>
    </xf>
    <xf numFmtId="0" fontId="0" fillId="11" borderId="0" applyAlignment="1" pivotButton="0" quotePrefix="0" xfId="0">
      <alignment horizontal="left" wrapText="1"/>
    </xf>
    <xf numFmtId="0" fontId="0" fillId="10" borderId="0" applyAlignment="1" pivotButton="0" quotePrefix="0" xfId="0">
      <alignment horizontal="center" wrapText="1"/>
    </xf>
    <xf numFmtId="0" fontId="4" fillId="0" borderId="1" applyAlignment="1" pivotButton="0" quotePrefix="0" xfId="0">
      <alignment horizontal="center" wrapText="1"/>
    </xf>
    <xf numFmtId="0" fontId="4" fillId="9" borderId="1" applyAlignment="1" pivotButton="0" quotePrefix="0" xfId="0">
      <alignment horizontal="center"/>
    </xf>
    <xf numFmtId="164" fontId="4" fillId="9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left" wrapText="1"/>
    </xf>
    <xf numFmtId="167" fontId="0" fillId="0" borderId="1" applyAlignment="1" pivotButton="0" quotePrefix="0" xfId="1">
      <alignment horizontal="center" vertical="center"/>
    </xf>
    <xf numFmtId="167" fontId="0" fillId="0" borderId="0" applyAlignment="1" pivotButton="0" quotePrefix="0" xfId="1">
      <alignment horizontal="center" vertical="center"/>
    </xf>
    <xf numFmtId="167" fontId="5" fillId="3" borderId="1" applyAlignment="1" pivotButton="0" quotePrefix="0" xfId="1">
      <alignment horizontal="center" vertical="center"/>
    </xf>
    <xf numFmtId="168" fontId="0" fillId="0" borderId="1" applyAlignment="1" pivotButton="0" quotePrefix="0" xfId="1">
      <alignment horizontal="center" vertical="center"/>
    </xf>
    <xf numFmtId="168" fontId="1" fillId="0" borderId="1" applyAlignment="1" pivotButton="0" quotePrefix="0" xfId="1">
      <alignment horizontal="center" vertical="center"/>
    </xf>
    <xf numFmtId="168" fontId="0" fillId="0" borderId="1" applyAlignment="1" pivotButton="0" quotePrefix="0" xfId="1">
      <alignment horizontal="right" vertical="center"/>
    </xf>
    <xf numFmtId="169" fontId="0" fillId="0" borderId="0" pivotButton="0" quotePrefix="0" xfId="0"/>
    <xf numFmtId="170" fontId="0" fillId="5" borderId="8" pivotButton="0" quotePrefix="0" xfId="2"/>
    <xf numFmtId="169" fontId="0" fillId="0" borderId="10" pivotButton="0" quotePrefix="0" xfId="0"/>
    <xf numFmtId="170" fontId="0" fillId="5" borderId="11" pivotButton="0" quotePrefix="0" xfId="2"/>
  </cellXfs>
  <cellStyles count="3">
    <cellStyle name="Normale" xfId="0" builtinId="0"/>
    <cellStyle name="Valuta" xfId="1" builtinId="4"/>
    <cellStyle name="Migliaia" xfId="2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Andamento</a:t>
            </a:r>
            <a:r>
              <a:rPr lang="it-IT" baseline="0"/>
              <a:t xml:space="preserve"> annuale c</a:t>
            </a:r>
            <a:r>
              <a:rPr lang="it-IT"/>
              <a:t>osto</a:t>
            </a:r>
            <a:r>
              <a:rPr lang="it-IT" baseline="0"/>
              <a:t xml:space="preserve"> medio kWh</a:t>
            </a:r>
            <a:endParaRPr lang="it-IT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094706911636"/>
          <y val="0.1948611111111111"/>
          <w val="0.8284608486439196"/>
          <h val="0.6704013560804899"/>
        </manualLayout>
      </layout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Tabelle!$D$109:$D$119</f>
              <numCache>
                <formatCode>mmm\-yy</formatCode>
                <ptCount val="1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</numCache>
            </numRef>
          </cat>
          <val>
            <numRef>
              <f>Tabelle!$E$109:$E$119</f>
              <numCache>
                <formatCode>General</formatCode>
                <ptCount val="11"/>
              </numCache>
            </numRef>
          </val>
          <smooth val="0"/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Tabelle!$D$109:$D$119</f>
              <numCache>
                <formatCode>mmm\-yy</formatCode>
                <ptCount val="1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</numCache>
            </numRef>
          </cat>
          <val>
            <numRef>
              <f>Tabelle!$F$109:$F$119</f>
              <numCache>
                <formatCode>#,##0.0000\ "€"</formatCode>
                <ptCount val="11"/>
                <pt idx="0">
                  <v>0.307</v>
                </pt>
                <pt idx="1">
                  <v>0.331</v>
                </pt>
                <pt idx="2">
                  <v>0.335</v>
                </pt>
                <pt idx="3">
                  <v>0.334</v>
                </pt>
                <pt idx="4">
                  <v>0.286</v>
                </pt>
                <pt idx="5">
                  <v>0.2655</v>
                </pt>
                <pt idx="6">
                  <v>0.2575</v>
                </pt>
                <pt idx="7">
                  <v>0.355</v>
                </pt>
                <pt idx="8">
                  <v>0.296</v>
                </pt>
                <pt idx="9">
                  <v>0.3268</v>
                </pt>
                <pt idx="10">
                  <v>0.2732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91500976"/>
        <axId val="1191502896"/>
      </lineChart>
      <dateAx>
        <axId val="1191500976"/>
        <scaling>
          <orientation val="minMax"/>
        </scaling>
        <delete val="0"/>
        <axPos val="b"/>
        <numFmt formatCode="mmm\-yy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it-IT"/>
          </a:p>
        </txPr>
        <crossAx val="1191502896"/>
        <crosses val="autoZero"/>
        <lblOffset val="100"/>
        <baseTimeUnit val="months"/>
      </dateAx>
      <valAx>
        <axId val="1191502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it-IT"/>
          </a:p>
        </txPr>
        <crossAx val="11915009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Andamento annuale spesa energia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Tabelle!$A$109:$A$119</f>
              <numCache>
                <formatCode>mmm\-yy</formatCode>
                <ptCount val="11"/>
                <pt idx="0">
                  <v>45597</v>
                </pt>
                <pt idx="1">
                  <v>45627</v>
                </pt>
                <pt idx="2">
                  <v>45658</v>
                </pt>
                <pt idx="3">
                  <v>45689</v>
                </pt>
                <pt idx="4">
                  <v>45717</v>
                </pt>
                <pt idx="5">
                  <v>45748</v>
                </pt>
                <pt idx="6">
                  <v>45778</v>
                </pt>
                <pt idx="7">
                  <v>45809</v>
                </pt>
                <pt idx="8">
                  <v>45839</v>
                </pt>
                <pt idx="9">
                  <v>45870</v>
                </pt>
                <pt idx="10">
                  <v>45901</v>
                </pt>
              </numCache>
            </numRef>
          </cat>
          <val>
            <numRef>
              <f>Tabelle!$B$109:$B$119</f>
              <numCache>
                <formatCode>General</formatCode>
                <ptCount val="11"/>
                <pt idx="0">
                  <v>64157</v>
                </pt>
                <pt idx="1">
                  <v>51593</v>
                </pt>
                <pt idx="2">
                  <v>61904</v>
                </pt>
                <pt idx="3">
                  <v>60366</v>
                </pt>
                <pt idx="4">
                  <v>58209</v>
                </pt>
                <pt idx="5">
                  <v>41269</v>
                </pt>
                <pt idx="6">
                  <v>30809</v>
                </pt>
                <pt idx="7">
                  <v>33644</v>
                </pt>
                <pt idx="8">
                  <v>51483</v>
                </pt>
                <pt idx="9">
                  <v>17650</v>
                </pt>
                <pt idx="10">
                  <v>47214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291462304"/>
        <axId val="1291462784"/>
      </lineChart>
      <dateAx>
        <axId val="1291462304"/>
        <scaling>
          <orientation val="minMax"/>
        </scaling>
        <delete val="0"/>
        <axPos val="b"/>
        <numFmt formatCode="mmm\-yy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it-IT"/>
          </a:p>
        </txPr>
        <crossAx val="1291462784"/>
        <crosses val="autoZero"/>
        <lblOffset val="100"/>
        <baseTimeUnit val="months"/>
      </dateAx>
      <valAx>
        <axId val="129146278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it-IT"/>
          </a:p>
        </txPr>
        <crossAx val="12914623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7</col>
      <colOff>471487</colOff>
      <row>58</row>
      <rowOff>142875</rowOff>
    </from>
    <to>
      <col>18</col>
      <colOff>657225</colOff>
      <row>88</row>
      <rowOff>57150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504825</colOff>
      <row>90</row>
      <rowOff>0</rowOff>
    </from>
    <to>
      <col>18</col>
      <colOff>638174</colOff>
      <row>119</row>
      <rowOff>95250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Foglio2">
    <outlinePr summaryBelow="1" summaryRight="1"/>
    <pageSetUpPr/>
  </sheetPr>
  <dimension ref="A1:K25"/>
  <sheetViews>
    <sheetView workbookViewId="0">
      <selection activeCell="J22" sqref="J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9.85546875" customWidth="1" style="74" min="7" max="7"/>
    <col width="15.5703125" customWidth="1" style="74" min="8" max="8"/>
    <col width="15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ASS1</t>
        </is>
      </c>
      <c r="D2" s="32" t="n">
        <v>151.33</v>
      </c>
      <c r="E2" s="32" t="n">
        <v>127305</v>
      </c>
      <c r="F2" s="31" t="n"/>
      <c r="G2" s="31" t="n"/>
      <c r="H2" s="49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ASS1</t>
        </is>
      </c>
      <c r="D3" s="32" t="n">
        <v>130.12</v>
      </c>
      <c r="E3" s="32" t="n">
        <v>117666</v>
      </c>
      <c r="F3" s="31" t="n"/>
      <c r="G3" s="31" t="n"/>
      <c r="H3" s="49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ASS1</t>
        </is>
      </c>
      <c r="D4" s="32" t="n">
        <v>80.25</v>
      </c>
      <c r="E4" s="32" t="n">
        <v>54604</v>
      </c>
      <c r="F4" s="31" t="n"/>
      <c r="G4" s="31" t="n"/>
      <c r="H4" s="49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ASS1</t>
        </is>
      </c>
      <c r="D5" s="32" t="n">
        <v>81.52</v>
      </c>
      <c r="E5" s="32" t="n">
        <v>59880</v>
      </c>
      <c r="F5" s="31" t="n"/>
      <c r="G5" s="31" t="n"/>
      <c r="H5" s="49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ASS1</t>
        </is>
      </c>
      <c r="D6" s="32" t="n">
        <v>124.43</v>
      </c>
      <c r="E6" s="32" t="n">
        <v>86479</v>
      </c>
      <c r="F6" s="31" t="n"/>
      <c r="G6" s="31" t="n"/>
      <c r="H6" s="49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ASS1</t>
        </is>
      </c>
      <c r="D7" s="32" t="n">
        <v>91.02</v>
      </c>
      <c r="E7" s="32" t="n">
        <v>76618</v>
      </c>
      <c r="F7" s="31" t="n"/>
      <c r="G7" s="31" t="n"/>
      <c r="H7" s="49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ASS1</t>
        </is>
      </c>
      <c r="D8" s="32" t="n">
        <v>88.15000000000001</v>
      </c>
      <c r="E8" s="32" t="n">
        <v>60539</v>
      </c>
      <c r="F8" s="31" t="n"/>
      <c r="G8" s="31" t="n"/>
      <c r="H8" s="49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ASS1</t>
        </is>
      </c>
      <c r="D9" s="32" t="n">
        <v>30.53</v>
      </c>
      <c r="E9" s="32" t="n">
        <v>20210</v>
      </c>
      <c r="F9" s="31" t="n"/>
      <c r="G9" s="31" t="n"/>
      <c r="H9" s="49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ASS1</t>
        </is>
      </c>
      <c r="D10" s="32" t="n">
        <v>69.31999999999999</v>
      </c>
      <c r="E10" s="32" t="n">
        <v>50341</v>
      </c>
      <c r="F10" s="31" t="n"/>
      <c r="G10" s="31" t="n"/>
      <c r="H10" s="49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ASS1</t>
        </is>
      </c>
      <c r="D11" s="32" t="n">
        <v>93.7</v>
      </c>
      <c r="E11" s="33" t="n">
        <v>68387</v>
      </c>
      <c r="F11" s="31" t="n"/>
      <c r="G11" s="31" t="n"/>
      <c r="H11" s="49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ASS1</t>
        </is>
      </c>
      <c r="D12" s="25">
        <f>Tabelle!Y18</f>
        <v/>
      </c>
      <c r="E12" s="32">
        <f>Tabelle!Y32</f>
        <v/>
      </c>
      <c r="F12" s="7" t="n">
        <v>66.33</v>
      </c>
      <c r="G12" s="31" t="n"/>
      <c r="H12" s="49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ASS1</t>
        </is>
      </c>
      <c r="D13" s="25">
        <f>Tabelle!Y19</f>
        <v/>
      </c>
      <c r="E13" s="32">
        <f>Tabelle!Y33</f>
        <v/>
      </c>
      <c r="F13" s="7" t="n">
        <v>38.64</v>
      </c>
      <c r="G13" s="31" t="n"/>
      <c r="H13" s="49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ASS1</t>
        </is>
      </c>
      <c r="D14" s="25">
        <f>Tabelle!Y20</f>
        <v/>
      </c>
      <c r="E14" s="32">
        <f>Tabelle!Y34</f>
        <v/>
      </c>
      <c r="F14" s="7" t="n">
        <v>55.34</v>
      </c>
      <c r="G14" s="31" t="n"/>
      <c r="H14" s="49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ASS1</t>
        </is>
      </c>
      <c r="D15" s="25">
        <f>Tabelle!Y21</f>
        <v/>
      </c>
      <c r="E15" s="32">
        <f>Tabelle!Y35</f>
        <v/>
      </c>
      <c r="F15" s="7" t="n">
        <v>64.14000000000001</v>
      </c>
      <c r="G15" s="31" t="n"/>
      <c r="H15" s="49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ASS1</t>
        </is>
      </c>
      <c r="D16" s="25">
        <f>Tabelle!Y22</f>
        <v/>
      </c>
      <c r="E16" s="32">
        <f>Tabelle!Y36</f>
        <v/>
      </c>
      <c r="F16" s="7" t="n">
        <v>52.56999999999999</v>
      </c>
      <c r="G16" s="31" t="n"/>
      <c r="H16" s="49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ASS1</t>
        </is>
      </c>
      <c r="D17" s="25">
        <f>Tabelle!Y23</f>
        <v/>
      </c>
      <c r="E17" s="32">
        <f>Tabelle!Y37</f>
        <v/>
      </c>
      <c r="F17" s="7" t="n">
        <v>35.26999999999998</v>
      </c>
      <c r="G17" s="31" t="n"/>
      <c r="H17" s="49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ASS1</t>
        </is>
      </c>
      <c r="D18" s="25">
        <f>Tabelle!Y24</f>
        <v/>
      </c>
      <c r="E18" s="32">
        <f>Tabelle!Y38</f>
        <v/>
      </c>
      <c r="F18" s="7" t="n">
        <v>36.75999999999999</v>
      </c>
      <c r="G18" s="31" t="n"/>
      <c r="H18" s="49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ASS1</t>
        </is>
      </c>
      <c r="D19" s="25">
        <f>Tabelle!Y25</f>
        <v/>
      </c>
      <c r="E19" s="32">
        <f>Tabelle!Y39</f>
        <v/>
      </c>
      <c r="F19" s="7" t="n">
        <v>0</v>
      </c>
      <c r="G19" s="31" t="n"/>
      <c r="H19" s="49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ASS1</t>
        </is>
      </c>
      <c r="D20" s="25">
        <f>Tabelle!Y26</f>
        <v/>
      </c>
      <c r="E20" s="32">
        <f>Tabelle!Y40</f>
        <v/>
      </c>
      <c r="F20" s="7" t="n">
        <v>0</v>
      </c>
      <c r="G20" s="31" t="n"/>
      <c r="H20" s="49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ASS1</t>
        </is>
      </c>
      <c r="D21" s="25">
        <f>Tabelle!Y27</f>
        <v/>
      </c>
      <c r="E21" s="32">
        <f>Tabelle!Y41</f>
        <v/>
      </c>
      <c r="F21" s="7" t="n">
        <v>0</v>
      </c>
      <c r="G21" s="31" t="n"/>
      <c r="H21" s="49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ASS1</t>
        </is>
      </c>
      <c r="D22" s="25">
        <f>Tabelle!Y28</f>
        <v/>
      </c>
      <c r="E22" s="32">
        <f>Tabelle!Y42</f>
        <v/>
      </c>
      <c r="F22" s="7" t="n">
        <v>1</v>
      </c>
      <c r="G22" s="31" t="n"/>
      <c r="H22" s="49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ASS1</t>
        </is>
      </c>
      <c r="D23" s="25">
        <f>Tabelle!Y29</f>
        <v/>
      </c>
      <c r="E23" s="32">
        <f>Tabelle!Y43</f>
        <v/>
      </c>
      <c r="F23" s="7" t="n">
        <v>2</v>
      </c>
      <c r="G23" s="31" t="n"/>
      <c r="H23" s="49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ASS1</t>
        </is>
      </c>
      <c r="D24" s="25" t="n"/>
      <c r="E24" s="32" t="n"/>
      <c r="F24" s="31" t="n"/>
      <c r="G24" s="31" t="n"/>
      <c r="H24" s="49">
        <f>Tabelle!F121</f>
        <v/>
      </c>
      <c r="I24" s="34">
        <f>F24*H24</f>
        <v/>
      </c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ASS1</t>
        </is>
      </c>
      <c r="D25" s="25" t="n"/>
      <c r="E25" s="32" t="n"/>
      <c r="F25" s="31" t="n"/>
      <c r="G25" s="31" t="n"/>
      <c r="H25" s="49">
        <f>Tabelle!F122</f>
        <v/>
      </c>
      <c r="I25" s="34">
        <f>F25*H25</f>
        <v/>
      </c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Foglio3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9.140625" customWidth="1" style="37" min="1" max="2"/>
    <col width="20.140625" bestFit="1" customWidth="1" style="37" min="3" max="3"/>
    <col width="23.7109375" bestFit="1" customWidth="1" style="37" min="4" max="4"/>
    <col width="13.28515625" customWidth="1" style="37" min="5" max="5"/>
    <col width="9.7109375" bestFit="1" customWidth="1" style="37" min="6" max="6"/>
    <col width="7.140625" bestFit="1" customWidth="1" style="37" min="7" max="7"/>
    <col width="12.85546875" bestFit="1" customWidth="1" style="37" min="8" max="8"/>
    <col width="15.28515625" bestFit="1" customWidth="1" style="37" min="9" max="9"/>
    <col width="19.42578125" bestFit="1" customWidth="1" style="52" min="10" max="10"/>
    <col width="13.28515625" bestFit="1" customWidth="1" style="84" min="11" max="11"/>
    <col width="9.140625" customWidth="1" style="37" min="12" max="19"/>
    <col width="9.140625" customWidth="1" style="37" min="20" max="16384"/>
  </cols>
  <sheetData>
    <row r="1" customFormat="1" s="36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41" t="inlineStr">
        <is>
          <t>consumo da bolletta</t>
        </is>
      </c>
      <c r="K1" s="85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F01</t>
        </is>
      </c>
      <c r="D2" s="32" t="n">
        <v>171.92</v>
      </c>
      <c r="E2" s="32" t="n">
        <v>143772</v>
      </c>
      <c r="F2" s="31" t="n"/>
      <c r="G2" s="31" t="n"/>
      <c r="H2" s="49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F01</t>
        </is>
      </c>
      <c r="D3" s="32" t="n">
        <v>119.51</v>
      </c>
      <c r="E3" s="32" t="n">
        <v>99614</v>
      </c>
      <c r="F3" s="31" t="n"/>
      <c r="G3" s="31" t="n"/>
      <c r="H3" s="49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F01</t>
        </is>
      </c>
      <c r="D4" s="32" t="n">
        <v>41.33</v>
      </c>
      <c r="E4" s="32" t="n">
        <v>30484</v>
      </c>
      <c r="F4" s="31" t="n"/>
      <c r="G4" s="31" t="n"/>
      <c r="H4" s="49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F01</t>
        </is>
      </c>
      <c r="D5" s="32" t="n">
        <v>12.44</v>
      </c>
      <c r="E5" s="32" t="n">
        <v>11700</v>
      </c>
      <c r="F5" s="31" t="n"/>
      <c r="G5" s="31" t="n"/>
      <c r="H5" s="49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F01</t>
        </is>
      </c>
      <c r="D6" s="32" t="n">
        <v>107.52</v>
      </c>
      <c r="E6" s="32" t="n">
        <v>106500</v>
      </c>
      <c r="F6" s="31" t="n"/>
      <c r="G6" s="31" t="n"/>
      <c r="H6" s="49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F01</t>
        </is>
      </c>
      <c r="D7" s="32" t="n">
        <v>90.79000000000001</v>
      </c>
      <c r="E7" s="32" t="n">
        <v>36912</v>
      </c>
      <c r="F7" s="31" t="n"/>
      <c r="G7" s="31" t="n"/>
      <c r="H7" s="49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F01</t>
        </is>
      </c>
      <c r="D8" s="32" t="n">
        <v>132.66</v>
      </c>
      <c r="E8" s="32" t="n">
        <v>20988</v>
      </c>
      <c r="F8" s="31" t="n"/>
      <c r="G8" s="31" t="n"/>
      <c r="H8" s="49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F01</t>
        </is>
      </c>
      <c r="D9" s="32" t="n">
        <v>33.49</v>
      </c>
      <c r="E9" s="32" t="n">
        <v>31135</v>
      </c>
      <c r="F9" s="31" t="n"/>
      <c r="G9" s="31" t="n"/>
      <c r="H9" s="49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F01</t>
        </is>
      </c>
      <c r="D10" s="32" t="n">
        <v>217.54</v>
      </c>
      <c r="E10" s="32" t="n">
        <v>65920</v>
      </c>
      <c r="F10" s="31" t="n"/>
      <c r="G10" s="31" t="n"/>
      <c r="H10" s="49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F01</t>
        </is>
      </c>
      <c r="D11" s="32" t="n">
        <v>96.65000000000001</v>
      </c>
      <c r="E11" s="32" t="n">
        <v>100508</v>
      </c>
      <c r="F11" s="31" t="n"/>
      <c r="G11" s="31" t="n"/>
      <c r="H11" s="49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F01</t>
        </is>
      </c>
      <c r="D12" s="7">
        <f>Tabelle!B18</f>
        <v/>
      </c>
      <c r="E12" s="7">
        <f>Tabelle!B32</f>
        <v/>
      </c>
      <c r="F12" s="7">
        <f>Tabelle!B4</f>
        <v/>
      </c>
      <c r="G12" s="31" t="n"/>
      <c r="H12" s="49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F01</t>
        </is>
      </c>
      <c r="D13" s="7">
        <f>Tabelle!B19</f>
        <v/>
      </c>
      <c r="E13" s="7">
        <f>Tabelle!B33</f>
        <v/>
      </c>
      <c r="F13" s="7">
        <f>Tabelle!B5</f>
        <v/>
      </c>
      <c r="G13" s="31" t="n"/>
      <c r="H13" s="49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F01</t>
        </is>
      </c>
      <c r="D14" s="7">
        <f>Tabelle!B20</f>
        <v/>
      </c>
      <c r="E14" s="7">
        <f>Tabelle!B34</f>
        <v/>
      </c>
      <c r="F14" s="7">
        <f>Tabelle!B6</f>
        <v/>
      </c>
      <c r="G14" s="31" t="n"/>
      <c r="H14" s="49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F01</t>
        </is>
      </c>
      <c r="D15" s="7">
        <f>Tabelle!B21</f>
        <v/>
      </c>
      <c r="E15" s="7">
        <f>Tabelle!B35</f>
        <v/>
      </c>
      <c r="F15" s="7">
        <f>Tabelle!B7</f>
        <v/>
      </c>
      <c r="G15" s="31" t="n"/>
      <c r="H15" s="49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F01</t>
        </is>
      </c>
      <c r="D16" s="7">
        <f>Tabelle!B22</f>
        <v/>
      </c>
      <c r="E16" s="7">
        <f>Tabelle!B36</f>
        <v/>
      </c>
      <c r="F16" s="7">
        <f>Tabelle!B8</f>
        <v/>
      </c>
      <c r="G16" s="31" t="n"/>
      <c r="H16" s="49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F01</t>
        </is>
      </c>
      <c r="D17" s="7">
        <f>Tabelle!B23</f>
        <v/>
      </c>
      <c r="E17" s="7">
        <f>Tabelle!B37</f>
        <v/>
      </c>
      <c r="F17" s="7">
        <f>Tabelle!B9</f>
        <v/>
      </c>
      <c r="G17" s="31" t="n"/>
      <c r="H17" s="49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F01</t>
        </is>
      </c>
      <c r="D18" s="7">
        <f>Tabelle!B24</f>
        <v/>
      </c>
      <c r="E18" s="7">
        <f>Tabelle!B38</f>
        <v/>
      </c>
      <c r="F18" s="7">
        <f>Tabelle!B10</f>
        <v/>
      </c>
      <c r="G18" s="31" t="n"/>
      <c r="H18" s="49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F01</t>
        </is>
      </c>
      <c r="D19" s="7">
        <f>Tabelle!B25</f>
        <v/>
      </c>
      <c r="E19" s="7">
        <f>Tabelle!B39</f>
        <v/>
      </c>
      <c r="F19" s="7">
        <f>Tabelle!B11</f>
        <v/>
      </c>
      <c r="G19" s="31" t="n"/>
      <c r="H19" s="49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F01</t>
        </is>
      </c>
      <c r="D20" s="7">
        <f>Tabelle!B26</f>
        <v/>
      </c>
      <c r="E20" s="7">
        <f>Tabelle!B40</f>
        <v/>
      </c>
      <c r="F20" s="7">
        <f>Tabelle!B12</f>
        <v/>
      </c>
      <c r="G20" s="31" t="n"/>
      <c r="H20" s="49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F01</t>
        </is>
      </c>
      <c r="D21" s="7">
        <f>Tabelle!B27</f>
        <v/>
      </c>
      <c r="E21" s="7">
        <f>Tabelle!B41</f>
        <v/>
      </c>
      <c r="F21" s="7">
        <f>Tabelle!B13</f>
        <v/>
      </c>
      <c r="G21" s="31" t="n"/>
      <c r="H21" s="49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F01</t>
        </is>
      </c>
      <c r="D22" s="7">
        <f>Tabelle!B28</f>
        <v/>
      </c>
      <c r="E22" s="7">
        <f>Tabelle!B42</f>
        <v/>
      </c>
      <c r="F22" s="7">
        <f>Tabelle!B14</f>
        <v/>
      </c>
      <c r="G22" s="31" t="n"/>
      <c r="H22" s="49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F01</t>
        </is>
      </c>
      <c r="D23" s="7">
        <f>Tabelle!B29</f>
        <v/>
      </c>
      <c r="E23" s="7">
        <f>Tabelle!B43</f>
        <v/>
      </c>
      <c r="F23" s="7">
        <f>Tabelle!B15</f>
        <v/>
      </c>
      <c r="G23" s="31" t="n"/>
      <c r="H23" s="49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F01</t>
        </is>
      </c>
      <c r="D24" s="31" t="n"/>
      <c r="E24" s="31" t="n"/>
      <c r="F24" s="31" t="n"/>
      <c r="G24" s="31" t="n"/>
      <c r="H24" s="31" t="n"/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F01</t>
        </is>
      </c>
      <c r="D25" s="31" t="n"/>
      <c r="E25" s="31" t="n"/>
      <c r="F25" s="31" t="n"/>
      <c r="G25" s="31" t="n"/>
      <c r="H25" s="31" t="n"/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glio4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7.140625" customWidth="1" style="74" min="8" max="8"/>
    <col width="15.42578125" customWidth="1" style="74" min="9" max="9"/>
    <col width="17.5703125" customWidth="1" style="74" min="10" max="10"/>
    <col width="18.710937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F02</t>
        </is>
      </c>
      <c r="D2" s="32" t="n">
        <v>141.59</v>
      </c>
      <c r="E2" s="32" t="n">
        <v>74096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F02</t>
        </is>
      </c>
      <c r="D3" s="32" t="n">
        <v>211.19</v>
      </c>
      <c r="E3" s="32" t="n">
        <v>76550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F02</t>
        </is>
      </c>
      <c r="D4" s="32" t="n">
        <v>83.45</v>
      </c>
      <c r="E4" s="32" t="n">
        <v>47000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F02</t>
        </is>
      </c>
      <c r="D5" s="32" t="n">
        <v>0</v>
      </c>
      <c r="E5" s="32" t="n">
        <v>10860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F02</t>
        </is>
      </c>
      <c r="D6" s="32" t="n">
        <v>69.22</v>
      </c>
      <c r="E6" s="32" t="n">
        <v>13432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F02</t>
        </is>
      </c>
      <c r="D7" s="32" t="n">
        <v>62.19</v>
      </c>
      <c r="E7" s="32" t="n">
        <v>36744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F02</t>
        </is>
      </c>
      <c r="D8" s="32" t="n">
        <v>59.82</v>
      </c>
      <c r="E8" s="32" t="n">
        <v>18500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F02</t>
        </is>
      </c>
      <c r="D9" s="32" t="n">
        <v>45.05</v>
      </c>
      <c r="E9" s="32" t="n">
        <v>17088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F02</t>
        </is>
      </c>
      <c r="D10" s="32" t="n">
        <v>84.73</v>
      </c>
      <c r="E10" s="32" t="n">
        <v>13260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F02</t>
        </is>
      </c>
      <c r="D11" s="32" t="n">
        <v>45.11</v>
      </c>
      <c r="E11" s="32" t="n">
        <v>4700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F02</t>
        </is>
      </c>
      <c r="D12" s="7">
        <f>Tabelle!C18</f>
        <v/>
      </c>
      <c r="E12" s="7">
        <f>Tabelle!C32</f>
        <v/>
      </c>
      <c r="F12" s="7">
        <f>Tabelle!C4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F02</t>
        </is>
      </c>
      <c r="D13" s="7">
        <f>Tabelle!C19</f>
        <v/>
      </c>
      <c r="E13" s="7">
        <f>Tabelle!C33</f>
        <v/>
      </c>
      <c r="F13" s="7">
        <f>Tabelle!C5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F02</t>
        </is>
      </c>
      <c r="D14" s="7">
        <f>Tabelle!C20</f>
        <v/>
      </c>
      <c r="E14" s="7">
        <f>Tabelle!C34</f>
        <v/>
      </c>
      <c r="F14" s="7">
        <f>Tabelle!C6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F02</t>
        </is>
      </c>
      <c r="D15" s="7">
        <f>Tabelle!C21</f>
        <v/>
      </c>
      <c r="E15" s="7">
        <f>Tabelle!C35</f>
        <v/>
      </c>
      <c r="F15" s="7">
        <f>Tabelle!C7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F02</t>
        </is>
      </c>
      <c r="D16" s="7">
        <f>Tabelle!C22</f>
        <v/>
      </c>
      <c r="E16" s="7">
        <f>Tabelle!C36</f>
        <v/>
      </c>
      <c r="F16" s="7">
        <f>Tabelle!C8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F02</t>
        </is>
      </c>
      <c r="D17" s="7">
        <f>Tabelle!C23</f>
        <v/>
      </c>
      <c r="E17" s="7">
        <f>Tabelle!C37</f>
        <v/>
      </c>
      <c r="F17" s="7">
        <f>Tabelle!C9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F02</t>
        </is>
      </c>
      <c r="D18" s="7">
        <f>Tabelle!C24</f>
        <v/>
      </c>
      <c r="E18" s="7">
        <f>Tabelle!C38</f>
        <v/>
      </c>
      <c r="F18" s="7">
        <f>Tabelle!C10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F02</t>
        </is>
      </c>
      <c r="D19" s="7">
        <f>Tabelle!C25</f>
        <v/>
      </c>
      <c r="E19" s="7">
        <f>Tabelle!C39</f>
        <v/>
      </c>
      <c r="F19" s="7">
        <f>Tabelle!C11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F02</t>
        </is>
      </c>
      <c r="D20" s="7">
        <f>Tabelle!C26</f>
        <v/>
      </c>
      <c r="E20" s="7">
        <f>Tabelle!C40</f>
        <v/>
      </c>
      <c r="F20" s="7">
        <f>Tabelle!C12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F02</t>
        </is>
      </c>
      <c r="D21" s="7">
        <f>Tabelle!C27</f>
        <v/>
      </c>
      <c r="E21" s="7">
        <f>Tabelle!C41</f>
        <v/>
      </c>
      <c r="F21" s="7">
        <f>Tabelle!C13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F02</t>
        </is>
      </c>
      <c r="D22" s="7">
        <f>Tabelle!C28</f>
        <v/>
      </c>
      <c r="E22" s="7">
        <f>Tabelle!C42</f>
        <v/>
      </c>
      <c r="F22" s="7">
        <f>Tabelle!C14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F02</t>
        </is>
      </c>
      <c r="D23" s="7">
        <f>Tabelle!C29</f>
        <v/>
      </c>
      <c r="E23" s="7">
        <f>Tabelle!C43</f>
        <v/>
      </c>
      <c r="F23" s="7">
        <f>Tabelle!C15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F02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F02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5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6" customWidth="1" style="74" min="8" max="8"/>
    <col width="18.5703125" customWidth="1" style="74" min="9" max="10"/>
    <col width="21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F03</t>
        </is>
      </c>
      <c r="D2" s="32" t="n">
        <v>181.16</v>
      </c>
      <c r="E2" s="32" t="n">
        <v>157102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F03</t>
        </is>
      </c>
      <c r="D3" s="32" t="n">
        <v>228.07</v>
      </c>
      <c r="E3" s="32" t="n">
        <v>144108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F03</t>
        </is>
      </c>
      <c r="D4" s="32" t="n">
        <v>14.89</v>
      </c>
      <c r="E4" s="32" t="n">
        <v>11200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F03</t>
        </is>
      </c>
      <c r="D5" s="32" t="n">
        <v>12.3</v>
      </c>
      <c r="E5" s="32" t="n">
        <v>4860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F03</t>
        </is>
      </c>
      <c r="D6" s="32" t="n">
        <v>133.93</v>
      </c>
      <c r="E6" s="32" t="n">
        <v>75309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F03</t>
        </is>
      </c>
      <c r="D7" s="32" t="n">
        <v>9.27</v>
      </c>
      <c r="E7" s="32" t="n">
        <v>3083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F03</t>
        </is>
      </c>
      <c r="D8" s="32" t="n">
        <v>93.51000000000001</v>
      </c>
      <c r="E8" s="32" t="n">
        <v>68064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F03</t>
        </is>
      </c>
      <c r="D9" s="32" t="n">
        <v>130.57</v>
      </c>
      <c r="E9" s="32" t="n">
        <v>106836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F03</t>
        </is>
      </c>
      <c r="D10" s="32" t="n">
        <v>51.16</v>
      </c>
      <c r="E10" s="32" t="n">
        <v>37600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F03</t>
        </is>
      </c>
      <c r="D11" s="32" t="n">
        <v>66.31999999999999</v>
      </c>
      <c r="E11" s="32" t="n">
        <v>48808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F03</t>
        </is>
      </c>
      <c r="D12" s="7">
        <f>Tabelle!D18</f>
        <v/>
      </c>
      <c r="E12" s="7">
        <f>Tabelle!D32</f>
        <v/>
      </c>
      <c r="F12" s="7">
        <f>Tabelle!D4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F03</t>
        </is>
      </c>
      <c r="D13" s="7">
        <f>Tabelle!D19</f>
        <v/>
      </c>
      <c r="E13" s="7">
        <f>Tabelle!D33</f>
        <v/>
      </c>
      <c r="F13" s="7">
        <f>Tabelle!D5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F03</t>
        </is>
      </c>
      <c r="D14" s="7">
        <f>Tabelle!D20</f>
        <v/>
      </c>
      <c r="E14" s="7">
        <f>Tabelle!D34</f>
        <v/>
      </c>
      <c r="F14" s="7">
        <f>Tabelle!D6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F03</t>
        </is>
      </c>
      <c r="D15" s="7">
        <f>Tabelle!D21</f>
        <v/>
      </c>
      <c r="E15" s="7">
        <f>Tabelle!D35</f>
        <v/>
      </c>
      <c r="F15" s="7">
        <f>Tabelle!D7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F03</t>
        </is>
      </c>
      <c r="D16" s="7">
        <f>Tabelle!D22</f>
        <v/>
      </c>
      <c r="E16" s="7">
        <f>Tabelle!D36</f>
        <v/>
      </c>
      <c r="F16" s="7">
        <f>Tabelle!D8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F03</t>
        </is>
      </c>
      <c r="D17" s="7">
        <f>Tabelle!D23</f>
        <v/>
      </c>
      <c r="E17" s="7">
        <f>Tabelle!D37</f>
        <v/>
      </c>
      <c r="F17" s="7">
        <f>Tabelle!D9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F03</t>
        </is>
      </c>
      <c r="D18" s="7">
        <f>Tabelle!D24</f>
        <v/>
      </c>
      <c r="E18" s="7">
        <f>Tabelle!D38</f>
        <v/>
      </c>
      <c r="F18" s="7">
        <f>Tabelle!D10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F03</t>
        </is>
      </c>
      <c r="D19" s="7">
        <f>Tabelle!D25</f>
        <v/>
      </c>
      <c r="E19" s="7">
        <f>Tabelle!D39</f>
        <v/>
      </c>
      <c r="F19" s="7">
        <f>Tabelle!D11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F03</t>
        </is>
      </c>
      <c r="D20" s="7">
        <f>Tabelle!D26</f>
        <v/>
      </c>
      <c r="E20" s="7">
        <f>Tabelle!D40</f>
        <v/>
      </c>
      <c r="F20" s="7">
        <f>Tabelle!D12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F03</t>
        </is>
      </c>
      <c r="D21" s="7">
        <f>Tabelle!D27</f>
        <v/>
      </c>
      <c r="E21" s="7">
        <f>Tabelle!D41</f>
        <v/>
      </c>
      <c r="F21" s="7">
        <f>Tabelle!D13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F03</t>
        </is>
      </c>
      <c r="D22" s="7">
        <f>Tabelle!D28</f>
        <v/>
      </c>
      <c r="E22" s="7">
        <f>Tabelle!D42</f>
        <v/>
      </c>
      <c r="F22" s="7">
        <f>Tabelle!D14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F03</t>
        </is>
      </c>
      <c r="D23" s="7">
        <f>Tabelle!D29</f>
        <v/>
      </c>
      <c r="E23" s="7">
        <f>Tabelle!D43</f>
        <v/>
      </c>
      <c r="F23" s="7">
        <f>Tabelle!D15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F03</t>
        </is>
      </c>
      <c r="D24" s="7" t="n"/>
      <c r="E24" s="7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F03</t>
        </is>
      </c>
      <c r="D25" s="7" t="n"/>
      <c r="E25" s="7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Foglio6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6.85546875" customWidth="1" style="74" min="8" max="8"/>
    <col width="16.28515625" customWidth="1" style="74" min="9" max="9"/>
    <col width="16.5703125" customWidth="1" style="74" min="10" max="10"/>
    <col width="18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F04</t>
        </is>
      </c>
      <c r="D2" s="32" t="n">
        <v>127.93</v>
      </c>
      <c r="E2" s="32" t="n">
        <v>172860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F04</t>
        </is>
      </c>
      <c r="D3" s="32" t="n">
        <v>102.95</v>
      </c>
      <c r="E3" s="32" t="n">
        <v>61844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F04</t>
        </is>
      </c>
      <c r="D4" s="32" t="n">
        <v>7.27</v>
      </c>
      <c r="E4" s="32" t="n">
        <v>6400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F04</t>
        </is>
      </c>
      <c r="D5" s="32" t="n">
        <v>48.6</v>
      </c>
      <c r="E5" s="32" t="n">
        <v>81568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F04</t>
        </is>
      </c>
      <c r="D6" s="32" t="n">
        <v>20.81</v>
      </c>
      <c r="E6" s="32" t="n">
        <v>11408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F04</t>
        </is>
      </c>
      <c r="D7" s="32" t="n">
        <v>63.95</v>
      </c>
      <c r="E7" s="32" t="n">
        <v>28352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F04</t>
        </is>
      </c>
      <c r="D8" s="32" t="n">
        <v>87.18000000000001</v>
      </c>
      <c r="E8" s="32" t="n">
        <v>60676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F04</t>
        </is>
      </c>
      <c r="D9" s="32" t="n">
        <v>64.86</v>
      </c>
      <c r="E9" s="32" t="n">
        <v>20800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F04</t>
        </is>
      </c>
      <c r="D10" s="32" t="n">
        <v>49.66</v>
      </c>
      <c r="E10" s="32" t="n">
        <v>19730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F04</t>
        </is>
      </c>
      <c r="D11" s="32" t="n">
        <v>162.34</v>
      </c>
      <c r="E11" s="32" t="n">
        <v>151024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F04</t>
        </is>
      </c>
      <c r="D12" s="7">
        <f>Tabelle!E18</f>
        <v/>
      </c>
      <c r="E12" s="7">
        <f>Tabelle!E32</f>
        <v/>
      </c>
      <c r="F12" s="7">
        <f>Tabelle!E4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F04</t>
        </is>
      </c>
      <c r="D13" s="7">
        <f>Tabelle!E19</f>
        <v/>
      </c>
      <c r="E13" s="7">
        <f>Tabelle!E33</f>
        <v/>
      </c>
      <c r="F13" s="7">
        <f>Tabelle!E5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F04</t>
        </is>
      </c>
      <c r="D14" s="7">
        <f>Tabelle!E20</f>
        <v/>
      </c>
      <c r="E14" s="7">
        <f>Tabelle!E34</f>
        <v/>
      </c>
      <c r="F14" s="7">
        <f>Tabelle!E6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F04</t>
        </is>
      </c>
      <c r="D15" s="7">
        <f>Tabelle!E21</f>
        <v/>
      </c>
      <c r="E15" s="7">
        <f>Tabelle!E35</f>
        <v/>
      </c>
      <c r="F15" s="7">
        <f>Tabelle!E7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F04</t>
        </is>
      </c>
      <c r="D16" s="7">
        <f>Tabelle!E22</f>
        <v/>
      </c>
      <c r="E16" s="7">
        <f>Tabelle!E36</f>
        <v/>
      </c>
      <c r="F16" s="7">
        <f>Tabelle!E8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F04</t>
        </is>
      </c>
      <c r="D17" s="7">
        <f>Tabelle!E23</f>
        <v/>
      </c>
      <c r="E17" s="7">
        <f>Tabelle!E37</f>
        <v/>
      </c>
      <c r="F17" s="7">
        <f>Tabelle!E9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F04</t>
        </is>
      </c>
      <c r="D18" s="7">
        <f>Tabelle!E24</f>
        <v/>
      </c>
      <c r="E18" s="7">
        <f>Tabelle!E38</f>
        <v/>
      </c>
      <c r="F18" s="7">
        <f>Tabelle!E10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F04</t>
        </is>
      </c>
      <c r="D19" s="7">
        <f>Tabelle!E25</f>
        <v/>
      </c>
      <c r="E19" s="7">
        <f>Tabelle!E39</f>
        <v/>
      </c>
      <c r="F19" s="7">
        <f>Tabelle!E11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F04</t>
        </is>
      </c>
      <c r="D20" s="7">
        <f>Tabelle!E26</f>
        <v/>
      </c>
      <c r="E20" s="7">
        <f>Tabelle!E40</f>
        <v/>
      </c>
      <c r="F20" s="7">
        <f>Tabelle!E12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F04</t>
        </is>
      </c>
      <c r="D21" s="7">
        <f>Tabelle!E27</f>
        <v/>
      </c>
      <c r="E21" s="7">
        <f>Tabelle!E41</f>
        <v/>
      </c>
      <c r="F21" s="7">
        <f>Tabelle!E13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F04</t>
        </is>
      </c>
      <c r="D22" s="7">
        <f>Tabelle!E28</f>
        <v/>
      </c>
      <c r="E22" s="7">
        <f>Tabelle!E42</f>
        <v/>
      </c>
      <c r="F22" s="7">
        <f>Tabelle!E14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F04</t>
        </is>
      </c>
      <c r="D23" s="7">
        <f>Tabelle!E29</f>
        <v/>
      </c>
      <c r="E23" s="7">
        <f>Tabelle!E43</f>
        <v/>
      </c>
      <c r="F23" s="7">
        <f>Tabelle!E15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F04</t>
        </is>
      </c>
      <c r="D24" s="7" t="n"/>
      <c r="E24" s="7" t="n"/>
      <c r="F24" s="31" t="n"/>
      <c r="G24" s="31" t="n"/>
      <c r="H24" s="86">
        <f>Tabelle!F121</f>
        <v/>
      </c>
      <c r="I24" s="34">
        <f>F24*H24</f>
        <v/>
      </c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F04</t>
        </is>
      </c>
      <c r="D25" s="7" t="n"/>
      <c r="E25" s="7" t="n"/>
      <c r="F25" s="31" t="n"/>
      <c r="G25" s="31" t="n"/>
      <c r="H25" s="86">
        <f>Tabelle!F122</f>
        <v/>
      </c>
      <c r="I25" s="34">
        <f>F25*H25</f>
        <v/>
      </c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Foglio7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9.7109375" customWidth="1" style="74" min="8" max="9"/>
    <col width="22.85546875" customWidth="1" style="74" min="10" max="10"/>
    <col width="19.28515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F05</t>
        </is>
      </c>
      <c r="D2" s="32" t="n">
        <v>53.21</v>
      </c>
      <c r="E2" s="32" t="n">
        <v>71235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F05</t>
        </is>
      </c>
      <c r="D3" s="32" t="n">
        <v>7.77</v>
      </c>
      <c r="E3" s="32" t="n">
        <v>11620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F05</t>
        </is>
      </c>
      <c r="D4" s="32" t="n">
        <v>101.11</v>
      </c>
      <c r="E4" s="32" t="n">
        <v>77660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F05</t>
        </is>
      </c>
      <c r="D5" s="32" t="n">
        <v>40.97</v>
      </c>
      <c r="E5" s="32" t="n">
        <v>60016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F05</t>
        </is>
      </c>
      <c r="D6" s="32" t="n">
        <v>176.24</v>
      </c>
      <c r="E6" s="32" t="n">
        <v>58884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F05</t>
        </is>
      </c>
      <c r="D7" s="32" t="n">
        <v>43.78</v>
      </c>
      <c r="E7" s="32" t="n">
        <v>33600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F05</t>
        </is>
      </c>
      <c r="D8" s="32" t="n">
        <v>102.16</v>
      </c>
      <c r="E8" s="32" t="n">
        <v>81250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F05</t>
        </is>
      </c>
      <c r="D9" s="32" t="n">
        <v>16.37</v>
      </c>
      <c r="E9" s="32" t="n">
        <v>13900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F05</t>
        </is>
      </c>
      <c r="D10" s="32" t="n">
        <v>27.76</v>
      </c>
      <c r="E10" s="32" t="n">
        <v>35916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F05</t>
        </is>
      </c>
      <c r="D11" s="32" t="n">
        <v>135.31</v>
      </c>
      <c r="E11" s="32" t="n">
        <v>182384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F05</t>
        </is>
      </c>
      <c r="D12" s="7">
        <f>Tabelle!F18</f>
        <v/>
      </c>
      <c r="E12" s="7">
        <f>Tabelle!F32</f>
        <v/>
      </c>
      <c r="F12" s="7">
        <f>Tabelle!F4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F05</t>
        </is>
      </c>
      <c r="D13" s="7">
        <f>Tabelle!F19</f>
        <v/>
      </c>
      <c r="E13" s="7">
        <f>Tabelle!F33</f>
        <v/>
      </c>
      <c r="F13" s="7">
        <f>Tabelle!F5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F05</t>
        </is>
      </c>
      <c r="D14" s="7">
        <f>Tabelle!F20</f>
        <v/>
      </c>
      <c r="E14" s="7">
        <f>Tabelle!F34</f>
        <v/>
      </c>
      <c r="F14" s="7">
        <f>Tabelle!F6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F05</t>
        </is>
      </c>
      <c r="D15" s="7">
        <f>Tabelle!F21</f>
        <v/>
      </c>
      <c r="E15" s="7">
        <f>Tabelle!F35</f>
        <v/>
      </c>
      <c r="F15" s="7">
        <f>Tabelle!F7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F05</t>
        </is>
      </c>
      <c r="D16" s="7">
        <f>Tabelle!F22</f>
        <v/>
      </c>
      <c r="E16" s="7">
        <f>Tabelle!F36</f>
        <v/>
      </c>
      <c r="F16" s="7">
        <f>Tabelle!F8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F05</t>
        </is>
      </c>
      <c r="D17" s="7">
        <f>Tabelle!F23</f>
        <v/>
      </c>
      <c r="E17" s="7">
        <f>Tabelle!F37</f>
        <v/>
      </c>
      <c r="F17" s="7">
        <f>Tabelle!F9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F05</t>
        </is>
      </c>
      <c r="D18" s="7">
        <f>Tabelle!F24</f>
        <v/>
      </c>
      <c r="E18" s="7">
        <f>Tabelle!F38</f>
        <v/>
      </c>
      <c r="F18" s="7">
        <f>Tabelle!F10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F05</t>
        </is>
      </c>
      <c r="D19" s="7">
        <f>Tabelle!F25</f>
        <v/>
      </c>
      <c r="E19" s="7">
        <f>Tabelle!F39</f>
        <v/>
      </c>
      <c r="F19" s="7">
        <f>Tabelle!F11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F05</t>
        </is>
      </c>
      <c r="D20" s="7">
        <f>Tabelle!F26</f>
        <v/>
      </c>
      <c r="E20" s="7">
        <f>Tabelle!F40</f>
        <v/>
      </c>
      <c r="F20" s="7">
        <f>Tabelle!F12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F05</t>
        </is>
      </c>
      <c r="D21" s="7">
        <f>Tabelle!F27</f>
        <v/>
      </c>
      <c r="E21" s="7">
        <f>Tabelle!F41</f>
        <v/>
      </c>
      <c r="F21" s="7">
        <f>Tabelle!F13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F05</t>
        </is>
      </c>
      <c r="D22" s="7">
        <f>Tabelle!F28</f>
        <v/>
      </c>
      <c r="E22" s="7">
        <f>Tabelle!F42</f>
        <v/>
      </c>
      <c r="F22" s="7">
        <f>Tabelle!F14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F05</t>
        </is>
      </c>
      <c r="D23" s="7">
        <f>Tabelle!F29</f>
        <v/>
      </c>
      <c r="E23" s="7">
        <f>Tabelle!F43</f>
        <v/>
      </c>
      <c r="F23" s="7">
        <f>Tabelle!F15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F05</t>
        </is>
      </c>
      <c r="D24" s="31" t="n"/>
      <c r="E24" s="31" t="n"/>
      <c r="F24" s="31" t="n"/>
      <c r="G24" s="31" t="n"/>
      <c r="H24" s="86">
        <f>Tabelle!F121</f>
        <v/>
      </c>
      <c r="I24" s="32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F05</t>
        </is>
      </c>
      <c r="D25" s="31" t="n"/>
      <c r="E25" s="31" t="n"/>
      <c r="F25" s="31" t="n"/>
      <c r="G25" s="31" t="n"/>
      <c r="H25" s="86">
        <f>Tabelle!F122</f>
        <v/>
      </c>
      <c r="I25" s="32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Foglio8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7.5703125" customWidth="1" style="74" min="8" max="8"/>
    <col width="22.5703125" customWidth="1" style="74" min="9" max="9"/>
    <col width="21.28515625" customWidth="1" style="74" min="10" max="10"/>
    <col width="24.140625" customWidth="1" style="74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F06</t>
        </is>
      </c>
      <c r="D2" s="23" t="n">
        <v>117.3</v>
      </c>
      <c r="E2" s="23" t="n">
        <v>54560</v>
      </c>
      <c r="F2" s="5" t="n"/>
      <c r="G2" s="5" t="n"/>
      <c r="H2" s="87">
        <f>Tabelle!F99</f>
        <v/>
      </c>
      <c r="I2" s="5" t="n"/>
      <c r="J2" s="32">
        <f>Tabelle!B99</f>
        <v/>
      </c>
      <c r="K2" s="83">
        <f>Tabelle!G75</f>
        <v/>
      </c>
    </row>
    <row r="3">
      <c r="A3" s="4" t="n">
        <v>2024</v>
      </c>
      <c r="B3" s="4" t="n">
        <v>2</v>
      </c>
      <c r="C3" s="5" t="inlineStr">
        <is>
          <t>F06</t>
        </is>
      </c>
      <c r="D3" s="23" t="n">
        <v>187.55</v>
      </c>
      <c r="E3" s="23" t="n">
        <v>82968</v>
      </c>
      <c r="F3" s="5" t="n"/>
      <c r="G3" s="5" t="n"/>
      <c r="H3" s="87">
        <f>Tabelle!F100</f>
        <v/>
      </c>
      <c r="I3" s="5" t="n"/>
      <c r="J3" s="32">
        <f>Tabelle!B100</f>
        <v/>
      </c>
      <c r="K3" s="83">
        <f>Tabelle!G76</f>
        <v/>
      </c>
    </row>
    <row r="4">
      <c r="A4" s="4" t="n">
        <v>2024</v>
      </c>
      <c r="B4" s="4" t="n">
        <v>3</v>
      </c>
      <c r="C4" s="5" t="inlineStr">
        <is>
          <t>F06</t>
        </is>
      </c>
      <c r="D4" s="23" t="n">
        <v>3.82</v>
      </c>
      <c r="E4" s="23" t="n">
        <v>1872</v>
      </c>
      <c r="F4" s="5" t="n"/>
      <c r="G4" s="5" t="n"/>
      <c r="H4" s="87">
        <f>Tabelle!F101</f>
        <v/>
      </c>
      <c r="I4" s="5" t="n"/>
      <c r="J4" s="32">
        <f>Tabelle!B101</f>
        <v/>
      </c>
      <c r="K4" s="83">
        <f>Tabelle!G77</f>
        <v/>
      </c>
    </row>
    <row r="5">
      <c r="A5" s="4" t="n">
        <v>2024</v>
      </c>
      <c r="B5" s="4" t="n">
        <v>4</v>
      </c>
      <c r="C5" s="5" t="inlineStr">
        <is>
          <t>F06</t>
        </is>
      </c>
      <c r="D5" s="23" t="n">
        <v>41.12</v>
      </c>
      <c r="E5" s="23" t="n">
        <v>3948</v>
      </c>
      <c r="F5" s="5" t="n"/>
      <c r="G5" s="5" t="n"/>
      <c r="H5" s="87">
        <f>Tabelle!F102</f>
        <v/>
      </c>
      <c r="I5" s="5" t="n"/>
      <c r="J5" s="32">
        <f>Tabelle!B102</f>
        <v/>
      </c>
      <c r="K5" s="83">
        <f>Tabelle!G78</f>
        <v/>
      </c>
    </row>
    <row r="6">
      <c r="A6" s="4" t="n">
        <v>2024</v>
      </c>
      <c r="B6" s="4" t="n">
        <v>5</v>
      </c>
      <c r="C6" s="5" t="inlineStr">
        <is>
          <t>F06</t>
        </is>
      </c>
      <c r="D6" s="23" t="n">
        <v>243.62</v>
      </c>
      <c r="E6" s="23" t="n">
        <v>23364</v>
      </c>
      <c r="F6" s="5" t="n"/>
      <c r="G6" s="5" t="n"/>
      <c r="H6" s="87">
        <f>Tabelle!F103</f>
        <v/>
      </c>
      <c r="I6" s="5" t="n"/>
      <c r="J6" s="32">
        <f>Tabelle!B103</f>
        <v/>
      </c>
      <c r="K6" s="83">
        <f>Tabelle!G79</f>
        <v/>
      </c>
    </row>
    <row r="7">
      <c r="A7" s="4" t="n">
        <v>2024</v>
      </c>
      <c r="B7" s="4" t="n">
        <v>6</v>
      </c>
      <c r="C7" s="5" t="inlineStr">
        <is>
          <t>F06</t>
        </is>
      </c>
      <c r="D7" s="23" t="n">
        <v>22.67</v>
      </c>
      <c r="E7" s="23" t="n">
        <v>8150</v>
      </c>
      <c r="F7" s="5" t="n"/>
      <c r="G7" s="5" t="n"/>
      <c r="H7" s="87">
        <f>Tabelle!F104</f>
        <v/>
      </c>
      <c r="I7" s="5" t="n"/>
      <c r="J7" s="32">
        <f>Tabelle!B104</f>
        <v/>
      </c>
      <c r="K7" s="83">
        <f>Tabelle!G80</f>
        <v/>
      </c>
    </row>
    <row r="8">
      <c r="A8" s="4" t="n">
        <v>2024</v>
      </c>
      <c r="B8" s="4" t="n">
        <v>7</v>
      </c>
      <c r="C8" s="5" t="inlineStr">
        <is>
          <t>F06</t>
        </is>
      </c>
      <c r="D8" s="23" t="n">
        <v>198.35</v>
      </c>
      <c r="E8" s="23" t="n">
        <v>47590</v>
      </c>
      <c r="F8" s="5" t="n"/>
      <c r="G8" s="5" t="n"/>
      <c r="H8" s="87">
        <f>Tabelle!F105</f>
        <v/>
      </c>
      <c r="I8" s="5" t="n"/>
      <c r="J8" s="32">
        <f>Tabelle!B105</f>
        <v/>
      </c>
      <c r="K8" s="83">
        <f>Tabelle!G81</f>
        <v/>
      </c>
    </row>
    <row r="9">
      <c r="A9" s="4" t="n">
        <v>2024</v>
      </c>
      <c r="B9" s="4" t="n">
        <v>8</v>
      </c>
      <c r="C9" s="5" t="inlineStr">
        <is>
          <t>F06</t>
        </is>
      </c>
      <c r="D9" s="23" t="n">
        <v>35.06</v>
      </c>
      <c r="E9" s="23" t="n">
        <v>17544</v>
      </c>
      <c r="F9" s="5" t="n"/>
      <c r="G9" s="5" t="n"/>
      <c r="H9" s="87">
        <f>Tabelle!F106</f>
        <v/>
      </c>
      <c r="I9" s="5" t="n"/>
      <c r="J9" s="32">
        <f>Tabelle!B106</f>
        <v/>
      </c>
      <c r="K9" s="83">
        <f>Tabelle!G82</f>
        <v/>
      </c>
    </row>
    <row r="10">
      <c r="A10" s="4" t="n">
        <v>2024</v>
      </c>
      <c r="B10" s="4" t="n">
        <v>9</v>
      </c>
      <c r="C10" s="5" t="inlineStr">
        <is>
          <t>F06</t>
        </is>
      </c>
      <c r="D10" s="23" t="n">
        <v>66.39</v>
      </c>
      <c r="E10" s="23" t="n">
        <v>29790</v>
      </c>
      <c r="F10" s="5" t="n"/>
      <c r="G10" s="5" t="n"/>
      <c r="H10" s="87">
        <f>Tabelle!F107</f>
        <v/>
      </c>
      <c r="I10" s="5" t="n"/>
      <c r="J10" s="32">
        <f>Tabelle!B107</f>
        <v/>
      </c>
      <c r="K10" s="83">
        <f>Tabelle!G83</f>
        <v/>
      </c>
    </row>
    <row r="11">
      <c r="A11" s="4" t="n">
        <v>2024</v>
      </c>
      <c r="B11" s="4" t="n">
        <v>10</v>
      </c>
      <c r="C11" s="5" t="inlineStr">
        <is>
          <t>F06</t>
        </is>
      </c>
      <c r="D11" s="23" t="n">
        <v>0</v>
      </c>
      <c r="E11" s="23" t="n">
        <v>0</v>
      </c>
      <c r="F11" s="5" t="n"/>
      <c r="G11" s="5" t="n"/>
      <c r="H11" s="87">
        <f>Tabelle!F108</f>
        <v/>
      </c>
      <c r="I11" s="5" t="n"/>
      <c r="J11" s="32">
        <f>Tabelle!B108</f>
        <v/>
      </c>
      <c r="K11" s="83">
        <f>Tabelle!G84</f>
        <v/>
      </c>
    </row>
    <row r="12">
      <c r="A12" s="4" t="n">
        <v>2024</v>
      </c>
      <c r="B12" s="4" t="n">
        <v>11</v>
      </c>
      <c r="C12" s="5" t="inlineStr">
        <is>
          <t>F06</t>
        </is>
      </c>
      <c r="D12" s="7">
        <f>Tabelle!G18</f>
        <v/>
      </c>
      <c r="E12" s="7">
        <f>Tabelle!G32</f>
        <v/>
      </c>
      <c r="F12" s="7">
        <f>Tabelle!G4</f>
        <v/>
      </c>
      <c r="G12" s="5" t="n"/>
      <c r="H12" s="87">
        <f>Tabelle!F109</f>
        <v/>
      </c>
      <c r="I12" s="26">
        <f>F12*H12</f>
        <v/>
      </c>
      <c r="J12" s="32">
        <f>Tabelle!B109</f>
        <v/>
      </c>
      <c r="K12" s="83">
        <f>Tabelle!G85</f>
        <v/>
      </c>
    </row>
    <row r="13">
      <c r="A13" s="4" t="n">
        <v>2024</v>
      </c>
      <c r="B13" s="4" t="n">
        <v>12</v>
      </c>
      <c r="C13" s="5" t="inlineStr">
        <is>
          <t>F06</t>
        </is>
      </c>
      <c r="D13" s="7">
        <f>Tabelle!G19</f>
        <v/>
      </c>
      <c r="E13" s="7">
        <f>Tabelle!G33</f>
        <v/>
      </c>
      <c r="F13" s="7">
        <f>Tabelle!G5</f>
        <v/>
      </c>
      <c r="G13" s="5" t="n"/>
      <c r="H13" s="87">
        <f>Tabelle!F110</f>
        <v/>
      </c>
      <c r="I13" s="26">
        <f>F13*H13</f>
        <v/>
      </c>
      <c r="J13" s="32">
        <f>Tabelle!B110</f>
        <v/>
      </c>
      <c r="K13" s="83">
        <f>Tabelle!G86</f>
        <v/>
      </c>
    </row>
    <row r="14">
      <c r="A14" s="6" t="n">
        <v>2025</v>
      </c>
      <c r="B14" s="6" t="n">
        <v>1</v>
      </c>
      <c r="C14" s="5" t="inlineStr">
        <is>
          <t>F06</t>
        </is>
      </c>
      <c r="D14" s="7">
        <f>Tabelle!G20</f>
        <v/>
      </c>
      <c r="E14" s="7">
        <f>Tabelle!G34</f>
        <v/>
      </c>
      <c r="F14" s="7">
        <f>Tabelle!G6</f>
        <v/>
      </c>
      <c r="G14" s="5" t="n"/>
      <c r="H14" s="87">
        <f>Tabelle!F111</f>
        <v/>
      </c>
      <c r="I14" s="26">
        <f>F14*H14</f>
        <v/>
      </c>
      <c r="J14" s="32">
        <f>Tabelle!B111</f>
        <v/>
      </c>
      <c r="K14" s="83">
        <f>Tabelle!G87</f>
        <v/>
      </c>
    </row>
    <row r="15">
      <c r="A15" s="6" t="n">
        <v>2025</v>
      </c>
      <c r="B15" s="6" t="n">
        <v>2</v>
      </c>
      <c r="C15" s="5" t="inlineStr">
        <is>
          <t>F06</t>
        </is>
      </c>
      <c r="D15" s="7">
        <f>Tabelle!G21</f>
        <v/>
      </c>
      <c r="E15" s="7">
        <f>Tabelle!G35</f>
        <v/>
      </c>
      <c r="F15" s="7">
        <f>Tabelle!G7</f>
        <v/>
      </c>
      <c r="G15" s="5" t="n"/>
      <c r="H15" s="87">
        <f>Tabelle!F112</f>
        <v/>
      </c>
      <c r="I15" s="26">
        <f>F15*H15</f>
        <v/>
      </c>
      <c r="J15" s="32">
        <f>Tabelle!B112</f>
        <v/>
      </c>
      <c r="K15" s="83">
        <f>Tabelle!G88</f>
        <v/>
      </c>
    </row>
    <row r="16">
      <c r="A16" s="6" t="n">
        <v>2025</v>
      </c>
      <c r="B16" s="6" t="n">
        <v>3</v>
      </c>
      <c r="C16" s="5" t="inlineStr">
        <is>
          <t>F06</t>
        </is>
      </c>
      <c r="D16" s="7">
        <f>Tabelle!G22</f>
        <v/>
      </c>
      <c r="E16" s="7">
        <f>Tabelle!G36</f>
        <v/>
      </c>
      <c r="F16" s="7">
        <f>Tabelle!G8</f>
        <v/>
      </c>
      <c r="G16" s="5" t="n"/>
      <c r="H16" s="87">
        <f>Tabelle!F113</f>
        <v/>
      </c>
      <c r="I16" s="26">
        <f>F16*H16</f>
        <v/>
      </c>
      <c r="J16" s="32">
        <f>Tabelle!B113</f>
        <v/>
      </c>
      <c r="K16" s="83">
        <f>Tabelle!G89</f>
        <v/>
      </c>
    </row>
    <row r="17">
      <c r="A17" s="6" t="n">
        <v>2025</v>
      </c>
      <c r="B17" s="6" t="n">
        <v>4</v>
      </c>
      <c r="C17" s="5" t="inlineStr">
        <is>
          <t>F06</t>
        </is>
      </c>
      <c r="D17" s="7">
        <f>Tabelle!G23</f>
        <v/>
      </c>
      <c r="E17" s="7">
        <f>Tabelle!G37</f>
        <v/>
      </c>
      <c r="F17" s="7">
        <f>Tabelle!G9</f>
        <v/>
      </c>
      <c r="G17" s="5" t="n"/>
      <c r="H17" s="87">
        <f>Tabelle!F114</f>
        <v/>
      </c>
      <c r="I17" s="26">
        <f>F17*H17</f>
        <v/>
      </c>
      <c r="J17" s="32">
        <f>Tabelle!B114</f>
        <v/>
      </c>
      <c r="K17" s="83">
        <f>Tabelle!G90</f>
        <v/>
      </c>
    </row>
    <row r="18">
      <c r="A18" s="6" t="n">
        <v>2025</v>
      </c>
      <c r="B18" s="6" t="n">
        <v>5</v>
      </c>
      <c r="C18" s="5" t="inlineStr">
        <is>
          <t>F06</t>
        </is>
      </c>
      <c r="D18" s="7">
        <f>Tabelle!G24</f>
        <v/>
      </c>
      <c r="E18" s="7">
        <f>Tabelle!G38</f>
        <v/>
      </c>
      <c r="F18" s="7">
        <f>Tabelle!G10</f>
        <v/>
      </c>
      <c r="G18" s="5" t="n"/>
      <c r="H18" s="87">
        <f>Tabelle!F115</f>
        <v/>
      </c>
      <c r="I18" s="26">
        <f>F18*H18</f>
        <v/>
      </c>
      <c r="J18" s="32">
        <f>Tabelle!B115</f>
        <v/>
      </c>
      <c r="K18" s="83">
        <f>Tabelle!G91</f>
        <v/>
      </c>
    </row>
    <row r="19">
      <c r="A19" s="6" t="n">
        <v>2025</v>
      </c>
      <c r="B19" s="6" t="n">
        <v>6</v>
      </c>
      <c r="C19" s="5" t="inlineStr">
        <is>
          <t>F06</t>
        </is>
      </c>
      <c r="D19" s="7">
        <f>Tabelle!G25</f>
        <v/>
      </c>
      <c r="E19" s="7">
        <f>Tabelle!G39</f>
        <v/>
      </c>
      <c r="F19" s="7">
        <f>Tabelle!G11</f>
        <v/>
      </c>
      <c r="G19" s="5" t="n"/>
      <c r="H19" s="87">
        <f>Tabelle!F116</f>
        <v/>
      </c>
      <c r="I19" s="26">
        <f>F19*H19</f>
        <v/>
      </c>
      <c r="J19" s="32">
        <f>Tabelle!B116</f>
        <v/>
      </c>
      <c r="K19" s="83">
        <f>Tabelle!G92</f>
        <v/>
      </c>
    </row>
    <row r="20">
      <c r="A20" s="6" t="n">
        <v>2025</v>
      </c>
      <c r="B20" s="6" t="n">
        <v>7</v>
      </c>
      <c r="C20" s="5" t="inlineStr">
        <is>
          <t>F06</t>
        </is>
      </c>
      <c r="D20" s="7">
        <f>Tabelle!G26</f>
        <v/>
      </c>
      <c r="E20" s="7">
        <f>Tabelle!G40</f>
        <v/>
      </c>
      <c r="F20" s="7">
        <f>Tabelle!G12</f>
        <v/>
      </c>
      <c r="G20" s="5" t="n"/>
      <c r="H20" s="87">
        <f>Tabelle!F117</f>
        <v/>
      </c>
      <c r="I20" s="26">
        <f>F20*H20</f>
        <v/>
      </c>
      <c r="J20" s="32">
        <f>Tabelle!B117</f>
        <v/>
      </c>
      <c r="K20" s="83">
        <f>Tabelle!G93</f>
        <v/>
      </c>
    </row>
    <row r="21">
      <c r="A21" s="6" t="n">
        <v>2025</v>
      </c>
      <c r="B21" s="6" t="n">
        <v>8</v>
      </c>
      <c r="C21" s="5" t="inlineStr">
        <is>
          <t>F06</t>
        </is>
      </c>
      <c r="D21" s="7">
        <f>Tabelle!G27</f>
        <v/>
      </c>
      <c r="E21" s="7">
        <f>Tabelle!G41</f>
        <v/>
      </c>
      <c r="F21" s="7">
        <f>Tabelle!G13</f>
        <v/>
      </c>
      <c r="G21" s="5" t="n"/>
      <c r="H21" s="87">
        <f>Tabelle!F118</f>
        <v/>
      </c>
      <c r="I21" s="26">
        <f>F21*H21</f>
        <v/>
      </c>
      <c r="J21" s="32">
        <f>Tabelle!B118</f>
        <v/>
      </c>
      <c r="K21" s="83">
        <f>Tabelle!G94</f>
        <v/>
      </c>
    </row>
    <row r="22">
      <c r="A22" s="6" t="n">
        <v>2025</v>
      </c>
      <c r="B22" s="6" t="n">
        <v>9</v>
      </c>
      <c r="C22" s="5" t="inlineStr">
        <is>
          <t>F06</t>
        </is>
      </c>
      <c r="D22" s="7">
        <f>Tabelle!G28</f>
        <v/>
      </c>
      <c r="E22" s="7">
        <f>Tabelle!G42</f>
        <v/>
      </c>
      <c r="F22" s="7">
        <f>Tabelle!G14</f>
        <v/>
      </c>
      <c r="G22" s="5" t="n"/>
      <c r="H22" s="87">
        <f>Tabelle!F119</f>
        <v/>
      </c>
      <c r="I22" s="26">
        <f>F22*H22</f>
        <v/>
      </c>
      <c r="J22" s="32">
        <f>Tabelle!B119</f>
        <v/>
      </c>
      <c r="K22" s="83">
        <f>Tabelle!G95</f>
        <v/>
      </c>
    </row>
    <row r="23">
      <c r="A23" s="6" t="n">
        <v>2025</v>
      </c>
      <c r="B23" s="6" t="n">
        <v>10</v>
      </c>
      <c r="C23" s="5" t="inlineStr">
        <is>
          <t>F06</t>
        </is>
      </c>
      <c r="D23" s="7">
        <f>Tabelle!G29</f>
        <v/>
      </c>
      <c r="E23" s="7">
        <f>Tabelle!G43</f>
        <v/>
      </c>
      <c r="F23" s="7">
        <f>Tabelle!G15</f>
        <v/>
      </c>
      <c r="G23" s="5" t="n"/>
      <c r="H23" s="87">
        <f>Tabelle!F120</f>
        <v/>
      </c>
      <c r="I23" s="26">
        <f>F23*H23</f>
        <v/>
      </c>
      <c r="J23" s="32">
        <f>Tabelle!B120</f>
        <v/>
      </c>
      <c r="K23" s="83">
        <f>Tabelle!G96</f>
        <v/>
      </c>
    </row>
    <row r="24">
      <c r="A24" s="6" t="n">
        <v>2025</v>
      </c>
      <c r="B24" s="6" t="n">
        <v>11</v>
      </c>
      <c r="C24" s="5" t="inlineStr">
        <is>
          <t>F06</t>
        </is>
      </c>
      <c r="D24" s="5" t="n"/>
      <c r="E24" s="5" t="n"/>
      <c r="F24" s="5" t="n"/>
      <c r="G24" s="5" t="n"/>
      <c r="H24" s="87">
        <f>Tabelle!F121</f>
        <v/>
      </c>
      <c r="I24" s="5" t="n"/>
      <c r="J24" s="32">
        <f>Tabelle!B121</f>
        <v/>
      </c>
      <c r="K24" s="83">
        <f>Tabelle!G99</f>
        <v/>
      </c>
    </row>
    <row r="25">
      <c r="A25" s="6" t="n">
        <v>2025</v>
      </c>
      <c r="B25" s="6" t="n">
        <v>12</v>
      </c>
      <c r="C25" s="5" t="inlineStr">
        <is>
          <t>F06</t>
        </is>
      </c>
      <c r="D25" s="5" t="n"/>
      <c r="E25" s="5" t="n"/>
      <c r="F25" s="5" t="n"/>
      <c r="G25" s="5" t="n"/>
      <c r="H25" s="87">
        <f>Tabelle!F122</f>
        <v/>
      </c>
      <c r="I25" s="5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Foglio9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5.85546875" customWidth="1" style="74" min="8" max="8"/>
    <col width="18.5703125" customWidth="1" style="74" min="9" max="9"/>
    <col width="21.28515625" customWidth="1" style="74" min="10" max="10"/>
    <col width="24.140625" customWidth="1" style="74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F07</t>
        </is>
      </c>
      <c r="D2" s="23" t="n">
        <v>129.86</v>
      </c>
      <c r="E2" s="23" t="n">
        <v>145474</v>
      </c>
      <c r="F2" s="5" t="n"/>
      <c r="G2" s="5" t="n"/>
      <c r="H2" s="87">
        <f>Tabelle!F99</f>
        <v/>
      </c>
      <c r="I2" s="5" t="n"/>
      <c r="J2" s="32">
        <f>Tabelle!B99</f>
        <v/>
      </c>
      <c r="K2" s="83">
        <f>Tabelle!G75</f>
        <v/>
      </c>
    </row>
    <row r="3">
      <c r="A3" s="4" t="n">
        <v>2024</v>
      </c>
      <c r="B3" s="4" t="n">
        <v>2</v>
      </c>
      <c r="C3" s="5" t="inlineStr">
        <is>
          <t>F07</t>
        </is>
      </c>
      <c r="D3" s="23" t="n">
        <v>52.81</v>
      </c>
      <c r="E3" s="23" t="n">
        <v>53208</v>
      </c>
      <c r="F3" s="5" t="n"/>
      <c r="G3" s="5" t="n"/>
      <c r="H3" s="87">
        <f>Tabelle!F100</f>
        <v/>
      </c>
      <c r="I3" s="5" t="n"/>
      <c r="J3" s="32">
        <f>Tabelle!B100</f>
        <v/>
      </c>
      <c r="K3" s="83">
        <f>Tabelle!G76</f>
        <v/>
      </c>
    </row>
    <row r="4">
      <c r="A4" s="4" t="n">
        <v>2024</v>
      </c>
      <c r="B4" s="4" t="n">
        <v>3</v>
      </c>
      <c r="C4" s="5" t="inlineStr">
        <is>
          <t>F07</t>
        </is>
      </c>
      <c r="D4" s="23" t="n">
        <v>172.01</v>
      </c>
      <c r="E4" s="23" t="n">
        <v>61792</v>
      </c>
      <c r="F4" s="5" t="n"/>
      <c r="G4" s="5" t="n"/>
      <c r="H4" s="87">
        <f>Tabelle!F101</f>
        <v/>
      </c>
      <c r="I4" s="5" t="n"/>
      <c r="J4" s="32">
        <f>Tabelle!B101</f>
        <v/>
      </c>
      <c r="K4" s="83">
        <f>Tabelle!G77</f>
        <v/>
      </c>
    </row>
    <row r="5">
      <c r="A5" s="4" t="n">
        <v>2024</v>
      </c>
      <c r="B5" s="4" t="n">
        <v>4</v>
      </c>
      <c r="C5" s="5" t="inlineStr">
        <is>
          <t>F07</t>
        </is>
      </c>
      <c r="D5" s="23" t="n">
        <v>9.83</v>
      </c>
      <c r="E5" s="23" t="n">
        <v>5000</v>
      </c>
      <c r="F5" s="5" t="n"/>
      <c r="G5" s="5" t="n"/>
      <c r="H5" s="87">
        <f>Tabelle!F102</f>
        <v/>
      </c>
      <c r="I5" s="5" t="n"/>
      <c r="J5" s="32">
        <f>Tabelle!B102</f>
        <v/>
      </c>
      <c r="K5" s="83">
        <f>Tabelle!G78</f>
        <v/>
      </c>
    </row>
    <row r="6">
      <c r="A6" s="4" t="n">
        <v>2024</v>
      </c>
      <c r="B6" s="4" t="n">
        <v>5</v>
      </c>
      <c r="C6" s="5" t="inlineStr">
        <is>
          <t>F07</t>
        </is>
      </c>
      <c r="D6" s="23" t="n">
        <v>37.41</v>
      </c>
      <c r="E6" s="23" t="n">
        <v>17596</v>
      </c>
      <c r="F6" s="5" t="n"/>
      <c r="G6" s="5" t="n"/>
      <c r="H6" s="87">
        <f>Tabelle!F103</f>
        <v/>
      </c>
      <c r="I6" s="5" t="n"/>
      <c r="J6" s="32">
        <f>Tabelle!B103</f>
        <v/>
      </c>
      <c r="K6" s="83">
        <f>Tabelle!G79</f>
        <v/>
      </c>
    </row>
    <row r="7">
      <c r="A7" s="4" t="n">
        <v>2024</v>
      </c>
      <c r="B7" s="4" t="n">
        <v>6</v>
      </c>
      <c r="C7" s="5" t="inlineStr">
        <is>
          <t>F07</t>
        </is>
      </c>
      <c r="D7" s="23" t="n">
        <v>34.11</v>
      </c>
      <c r="E7" s="23" t="n">
        <v>6200</v>
      </c>
      <c r="F7" s="5" t="n"/>
      <c r="G7" s="5" t="n"/>
      <c r="H7" s="87">
        <f>Tabelle!F104</f>
        <v/>
      </c>
      <c r="I7" s="5" t="n"/>
      <c r="J7" s="32">
        <f>Tabelle!B104</f>
        <v/>
      </c>
      <c r="K7" s="83">
        <f>Tabelle!G80</f>
        <v/>
      </c>
    </row>
    <row r="8">
      <c r="A8" s="4" t="n">
        <v>2024</v>
      </c>
      <c r="B8" s="4" t="n">
        <v>7</v>
      </c>
      <c r="C8" s="5" t="inlineStr">
        <is>
          <t>F07</t>
        </is>
      </c>
      <c r="D8" s="23" t="n">
        <v>20.08</v>
      </c>
      <c r="E8" s="23" t="n">
        <v>9210</v>
      </c>
      <c r="F8" s="5" t="n"/>
      <c r="G8" s="5" t="n"/>
      <c r="H8" s="87">
        <f>Tabelle!F105</f>
        <v/>
      </c>
      <c r="I8" s="5" t="n"/>
      <c r="J8" s="32">
        <f>Tabelle!B105</f>
        <v/>
      </c>
      <c r="K8" s="83">
        <f>Tabelle!G81</f>
        <v/>
      </c>
    </row>
    <row r="9">
      <c r="A9" s="4" t="n">
        <v>2024</v>
      </c>
      <c r="B9" s="4" t="n">
        <v>8</v>
      </c>
      <c r="C9" s="5" t="inlineStr">
        <is>
          <t>F07</t>
        </is>
      </c>
      <c r="D9" s="23" t="n">
        <v>84.86</v>
      </c>
      <c r="E9" s="23" t="n">
        <v>38850</v>
      </c>
      <c r="F9" s="5" t="n"/>
      <c r="G9" s="5" t="n"/>
      <c r="H9" s="87">
        <f>Tabelle!F106</f>
        <v/>
      </c>
      <c r="I9" s="5" t="n"/>
      <c r="J9" s="32">
        <f>Tabelle!B106</f>
        <v/>
      </c>
      <c r="K9" s="83">
        <f>Tabelle!G82</f>
        <v/>
      </c>
    </row>
    <row r="10">
      <c r="A10" s="4" t="n">
        <v>2024</v>
      </c>
      <c r="B10" s="4" t="n">
        <v>9</v>
      </c>
      <c r="C10" s="5" t="inlineStr">
        <is>
          <t>F07</t>
        </is>
      </c>
      <c r="D10" s="23" t="n">
        <v>52.05</v>
      </c>
      <c r="E10" s="23" t="n">
        <v>22439</v>
      </c>
      <c r="F10" s="5" t="n"/>
      <c r="G10" s="5" t="n"/>
      <c r="H10" s="87">
        <f>Tabelle!F107</f>
        <v/>
      </c>
      <c r="I10" s="5" t="n"/>
      <c r="J10" s="32">
        <f>Tabelle!B107</f>
        <v/>
      </c>
      <c r="K10" s="83">
        <f>Tabelle!G83</f>
        <v/>
      </c>
    </row>
    <row r="11">
      <c r="A11" s="4" t="n">
        <v>2024</v>
      </c>
      <c r="B11" s="4" t="n">
        <v>10</v>
      </c>
      <c r="C11" s="5" t="inlineStr">
        <is>
          <t>F07</t>
        </is>
      </c>
      <c r="D11" s="23" t="n">
        <v>51.1</v>
      </c>
      <c r="E11" s="23" t="n">
        <v>22392</v>
      </c>
      <c r="F11" s="5" t="n"/>
      <c r="G11" s="5" t="n"/>
      <c r="H11" s="87">
        <f>Tabelle!F108</f>
        <v/>
      </c>
      <c r="I11" s="5" t="n"/>
      <c r="J11" s="32">
        <f>Tabelle!B108</f>
        <v/>
      </c>
      <c r="K11" s="83">
        <f>Tabelle!G84</f>
        <v/>
      </c>
    </row>
    <row r="12">
      <c r="A12" s="4" t="n">
        <v>2024</v>
      </c>
      <c r="B12" s="4" t="n">
        <v>11</v>
      </c>
      <c r="C12" s="5" t="inlineStr">
        <is>
          <t>F07</t>
        </is>
      </c>
      <c r="D12" s="7">
        <f>Tabelle!H18</f>
        <v/>
      </c>
      <c r="E12" s="7">
        <f>Tabelle!H32</f>
        <v/>
      </c>
      <c r="F12" s="7">
        <f>Tabelle!H4</f>
        <v/>
      </c>
      <c r="G12" s="5" t="n"/>
      <c r="H12" s="87">
        <f>Tabelle!F109</f>
        <v/>
      </c>
      <c r="I12" s="26">
        <f>F12*H12</f>
        <v/>
      </c>
      <c r="J12" s="32">
        <f>Tabelle!B109</f>
        <v/>
      </c>
      <c r="K12" s="83">
        <f>Tabelle!G85</f>
        <v/>
      </c>
    </row>
    <row r="13">
      <c r="A13" s="4" t="n">
        <v>2024</v>
      </c>
      <c r="B13" s="4" t="n">
        <v>12</v>
      </c>
      <c r="C13" s="5" t="inlineStr">
        <is>
          <t>F07</t>
        </is>
      </c>
      <c r="D13" s="7">
        <f>Tabelle!H19</f>
        <v/>
      </c>
      <c r="E13" s="7">
        <f>Tabelle!H33</f>
        <v/>
      </c>
      <c r="F13" s="7">
        <f>Tabelle!H5</f>
        <v/>
      </c>
      <c r="G13" s="5" t="n"/>
      <c r="H13" s="87">
        <f>Tabelle!F110</f>
        <v/>
      </c>
      <c r="I13" s="26">
        <f>F13*H13</f>
        <v/>
      </c>
      <c r="J13" s="32">
        <f>Tabelle!B110</f>
        <v/>
      </c>
      <c r="K13" s="83">
        <f>Tabelle!G86</f>
        <v/>
      </c>
    </row>
    <row r="14">
      <c r="A14" s="6" t="n">
        <v>2025</v>
      </c>
      <c r="B14" s="6" t="n">
        <v>1</v>
      </c>
      <c r="C14" s="5" t="inlineStr">
        <is>
          <t>F07</t>
        </is>
      </c>
      <c r="D14" s="7">
        <f>Tabelle!H20</f>
        <v/>
      </c>
      <c r="E14" s="7">
        <f>Tabelle!H34</f>
        <v/>
      </c>
      <c r="F14" s="7">
        <f>Tabelle!H6</f>
        <v/>
      </c>
      <c r="G14" s="5" t="n"/>
      <c r="H14" s="87">
        <f>Tabelle!F111</f>
        <v/>
      </c>
      <c r="I14" s="26">
        <f>F14*H14</f>
        <v/>
      </c>
      <c r="J14" s="32">
        <f>Tabelle!B111</f>
        <v/>
      </c>
      <c r="K14" s="83">
        <f>Tabelle!G87</f>
        <v/>
      </c>
    </row>
    <row r="15">
      <c r="A15" s="6" t="n">
        <v>2025</v>
      </c>
      <c r="B15" s="6" t="n">
        <v>2</v>
      </c>
      <c r="C15" s="5" t="inlineStr">
        <is>
          <t>F07</t>
        </is>
      </c>
      <c r="D15" s="7">
        <f>Tabelle!H21</f>
        <v/>
      </c>
      <c r="E15" s="7">
        <f>Tabelle!H35</f>
        <v/>
      </c>
      <c r="F15" s="7">
        <f>Tabelle!H7</f>
        <v/>
      </c>
      <c r="G15" s="5" t="n"/>
      <c r="H15" s="87">
        <f>Tabelle!F112</f>
        <v/>
      </c>
      <c r="I15" s="26">
        <f>F15*H15</f>
        <v/>
      </c>
      <c r="J15" s="32">
        <f>Tabelle!B112</f>
        <v/>
      </c>
      <c r="K15" s="83">
        <f>Tabelle!G88</f>
        <v/>
      </c>
    </row>
    <row r="16">
      <c r="A16" s="6" t="n">
        <v>2025</v>
      </c>
      <c r="B16" s="6" t="n">
        <v>3</v>
      </c>
      <c r="C16" s="5" t="inlineStr">
        <is>
          <t>F07</t>
        </is>
      </c>
      <c r="D16" s="7">
        <f>Tabelle!H22</f>
        <v/>
      </c>
      <c r="E16" s="7">
        <f>Tabelle!H36</f>
        <v/>
      </c>
      <c r="F16" s="7">
        <f>Tabelle!H8</f>
        <v/>
      </c>
      <c r="G16" s="5" t="n"/>
      <c r="H16" s="87">
        <f>Tabelle!F113</f>
        <v/>
      </c>
      <c r="I16" s="26">
        <f>F16*H16</f>
        <v/>
      </c>
      <c r="J16" s="32">
        <f>Tabelle!B113</f>
        <v/>
      </c>
      <c r="K16" s="83">
        <f>Tabelle!G89</f>
        <v/>
      </c>
    </row>
    <row r="17">
      <c r="A17" s="6" t="n">
        <v>2025</v>
      </c>
      <c r="B17" s="6" t="n">
        <v>4</v>
      </c>
      <c r="C17" s="5" t="inlineStr">
        <is>
          <t>F07</t>
        </is>
      </c>
      <c r="D17" s="7">
        <f>Tabelle!H23</f>
        <v/>
      </c>
      <c r="E17" s="7">
        <f>Tabelle!H37</f>
        <v/>
      </c>
      <c r="F17" s="7">
        <f>Tabelle!H9</f>
        <v/>
      </c>
      <c r="G17" s="5" t="n"/>
      <c r="H17" s="87">
        <f>Tabelle!F114</f>
        <v/>
      </c>
      <c r="I17" s="26">
        <f>F17*H17</f>
        <v/>
      </c>
      <c r="J17" s="32">
        <f>Tabelle!B114</f>
        <v/>
      </c>
      <c r="K17" s="83">
        <f>Tabelle!G90</f>
        <v/>
      </c>
    </row>
    <row r="18">
      <c r="A18" s="6" t="n">
        <v>2025</v>
      </c>
      <c r="B18" s="6" t="n">
        <v>5</v>
      </c>
      <c r="C18" s="5" t="inlineStr">
        <is>
          <t>F07</t>
        </is>
      </c>
      <c r="D18" s="7">
        <f>Tabelle!H24</f>
        <v/>
      </c>
      <c r="E18" s="7">
        <f>Tabelle!H38</f>
        <v/>
      </c>
      <c r="F18" s="7">
        <f>Tabelle!H10</f>
        <v/>
      </c>
      <c r="G18" s="5" t="n"/>
      <c r="H18" s="87">
        <f>Tabelle!F115</f>
        <v/>
      </c>
      <c r="I18" s="26">
        <f>F18*H18</f>
        <v/>
      </c>
      <c r="J18" s="32">
        <f>Tabelle!B115</f>
        <v/>
      </c>
      <c r="K18" s="83">
        <f>Tabelle!G91</f>
        <v/>
      </c>
    </row>
    <row r="19">
      <c r="A19" s="6" t="n">
        <v>2025</v>
      </c>
      <c r="B19" s="6" t="n">
        <v>6</v>
      </c>
      <c r="C19" s="5" t="inlineStr">
        <is>
          <t>F07</t>
        </is>
      </c>
      <c r="D19" s="7">
        <f>Tabelle!H25</f>
        <v/>
      </c>
      <c r="E19" s="7">
        <f>Tabelle!H39</f>
        <v/>
      </c>
      <c r="F19" s="7">
        <f>Tabelle!H11</f>
        <v/>
      </c>
      <c r="G19" s="5" t="n"/>
      <c r="H19" s="87">
        <f>Tabelle!F116</f>
        <v/>
      </c>
      <c r="I19" s="26">
        <f>F19*H19</f>
        <v/>
      </c>
      <c r="J19" s="32">
        <f>Tabelle!B116</f>
        <v/>
      </c>
      <c r="K19" s="83">
        <f>Tabelle!G92</f>
        <v/>
      </c>
    </row>
    <row r="20">
      <c r="A20" s="6" t="n">
        <v>2025</v>
      </c>
      <c r="B20" s="6" t="n">
        <v>7</v>
      </c>
      <c r="C20" s="5" t="inlineStr">
        <is>
          <t>F07</t>
        </is>
      </c>
      <c r="D20" s="7">
        <f>Tabelle!H26</f>
        <v/>
      </c>
      <c r="E20" s="7">
        <f>Tabelle!H40</f>
        <v/>
      </c>
      <c r="F20" s="7">
        <f>Tabelle!H12</f>
        <v/>
      </c>
      <c r="G20" s="5" t="n"/>
      <c r="H20" s="87">
        <f>Tabelle!F117</f>
        <v/>
      </c>
      <c r="I20" s="26">
        <f>F20*H20</f>
        <v/>
      </c>
      <c r="J20" s="32">
        <f>Tabelle!B117</f>
        <v/>
      </c>
      <c r="K20" s="83">
        <f>Tabelle!G93</f>
        <v/>
      </c>
    </row>
    <row r="21">
      <c r="A21" s="6" t="n">
        <v>2025</v>
      </c>
      <c r="B21" s="6" t="n">
        <v>8</v>
      </c>
      <c r="C21" s="5" t="inlineStr">
        <is>
          <t>F07</t>
        </is>
      </c>
      <c r="D21" s="7">
        <f>Tabelle!H27</f>
        <v/>
      </c>
      <c r="E21" s="7">
        <f>Tabelle!H41</f>
        <v/>
      </c>
      <c r="F21" s="7">
        <f>Tabelle!H13</f>
        <v/>
      </c>
      <c r="G21" s="5" t="n"/>
      <c r="H21" s="87">
        <f>Tabelle!F118</f>
        <v/>
      </c>
      <c r="I21" s="26">
        <f>F21*H21</f>
        <v/>
      </c>
      <c r="J21" s="32">
        <f>Tabelle!B118</f>
        <v/>
      </c>
      <c r="K21" s="83">
        <f>Tabelle!G94</f>
        <v/>
      </c>
    </row>
    <row r="22">
      <c r="A22" s="6" t="n">
        <v>2025</v>
      </c>
      <c r="B22" s="6" t="n">
        <v>9</v>
      </c>
      <c r="C22" s="5" t="inlineStr">
        <is>
          <t>F07</t>
        </is>
      </c>
      <c r="D22" s="7">
        <f>Tabelle!H28</f>
        <v/>
      </c>
      <c r="E22" s="7">
        <f>Tabelle!H42</f>
        <v/>
      </c>
      <c r="F22" s="7">
        <f>Tabelle!H14</f>
        <v/>
      </c>
      <c r="G22" s="5" t="n"/>
      <c r="H22" s="87">
        <f>Tabelle!F119</f>
        <v/>
      </c>
      <c r="I22" s="26">
        <f>F22*H22</f>
        <v/>
      </c>
      <c r="J22" s="32">
        <f>Tabelle!B119</f>
        <v/>
      </c>
      <c r="K22" s="83">
        <f>Tabelle!G95</f>
        <v/>
      </c>
    </row>
    <row r="23">
      <c r="A23" s="6" t="n">
        <v>2025</v>
      </c>
      <c r="B23" s="6" t="n">
        <v>10</v>
      </c>
      <c r="C23" s="5" t="inlineStr">
        <is>
          <t>F07</t>
        </is>
      </c>
      <c r="D23" s="7">
        <f>Tabelle!H29</f>
        <v/>
      </c>
      <c r="E23" s="7">
        <f>Tabelle!H43</f>
        <v/>
      </c>
      <c r="F23" s="7">
        <f>Tabelle!H15</f>
        <v/>
      </c>
      <c r="G23" s="5" t="n"/>
      <c r="H23" s="87">
        <f>Tabelle!F120</f>
        <v/>
      </c>
      <c r="I23" s="26">
        <f>F23*H23</f>
        <v/>
      </c>
      <c r="J23" s="32">
        <f>Tabelle!B120</f>
        <v/>
      </c>
      <c r="K23" s="83">
        <f>Tabelle!G96</f>
        <v/>
      </c>
    </row>
    <row r="24">
      <c r="A24" s="6" t="n">
        <v>2025</v>
      </c>
      <c r="B24" s="6" t="n">
        <v>11</v>
      </c>
      <c r="C24" s="5" t="inlineStr">
        <is>
          <t>F07</t>
        </is>
      </c>
      <c r="D24" s="7" t="n"/>
      <c r="E24" s="7" t="n"/>
      <c r="F24" s="5" t="n"/>
      <c r="G24" s="5" t="n"/>
      <c r="H24" s="87">
        <f>Tabelle!F121</f>
        <v/>
      </c>
      <c r="I24" s="5" t="n"/>
      <c r="J24" s="32">
        <f>Tabelle!B121</f>
        <v/>
      </c>
      <c r="K24" s="83">
        <f>Tabelle!G99</f>
        <v/>
      </c>
    </row>
    <row r="25">
      <c r="A25" s="6" t="n">
        <v>2025</v>
      </c>
      <c r="B25" s="6" t="n">
        <v>12</v>
      </c>
      <c r="C25" s="5" t="inlineStr">
        <is>
          <t>F07</t>
        </is>
      </c>
      <c r="D25" s="7" t="n"/>
      <c r="E25" s="7" t="n"/>
      <c r="F25" s="5" t="n"/>
      <c r="G25" s="5" t="n"/>
      <c r="H25" s="87">
        <f>Tabelle!F122</f>
        <v/>
      </c>
      <c r="I25" s="5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glio10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9.42578125" customWidth="1" style="74" min="8" max="8"/>
    <col width="19.5703125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F08</t>
        </is>
      </c>
      <c r="D2" s="32" t="n">
        <v>93.13</v>
      </c>
      <c r="E2" s="32" t="n">
        <v>56800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F08</t>
        </is>
      </c>
      <c r="D3" s="32" t="n">
        <v>46.78</v>
      </c>
      <c r="E3" s="32" t="n">
        <v>47188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F08</t>
        </is>
      </c>
      <c r="D4" s="32" t="n">
        <v>70.5</v>
      </c>
      <c r="E4" s="32" t="n">
        <v>13740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F08</t>
        </is>
      </c>
      <c r="D5" s="32" t="n">
        <v>12.87</v>
      </c>
      <c r="E5" s="32" t="n">
        <v>2766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F08</t>
        </is>
      </c>
      <c r="D6" s="32" t="n">
        <v>0.11</v>
      </c>
      <c r="E6" s="32" t="n">
        <v>24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F08</t>
        </is>
      </c>
      <c r="D7" s="32" t="n">
        <v>0.43</v>
      </c>
      <c r="E7" s="32" t="n">
        <v>248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F08</t>
        </is>
      </c>
      <c r="D8" s="32" t="n">
        <v>29.16</v>
      </c>
      <c r="E8" s="32" t="n">
        <v>25648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F08</t>
        </is>
      </c>
      <c r="D9" s="32" t="n">
        <v>32.63</v>
      </c>
      <c r="E9" s="32" t="n">
        <v>8515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F08</t>
        </is>
      </c>
      <c r="D10" s="32" t="n">
        <v>53.67</v>
      </c>
      <c r="E10" s="32" t="n">
        <v>26900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F08</t>
        </is>
      </c>
      <c r="D11" s="32" t="n">
        <v>35.61</v>
      </c>
      <c r="E11" s="32" t="n">
        <v>14098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F08</t>
        </is>
      </c>
      <c r="D12" s="7">
        <f>Tabelle!I18</f>
        <v/>
      </c>
      <c r="E12" s="7">
        <f>Tabelle!I32</f>
        <v/>
      </c>
      <c r="F12" s="7">
        <f>Tabelle!I4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F08</t>
        </is>
      </c>
      <c r="D13" s="7">
        <f>Tabelle!I19</f>
        <v/>
      </c>
      <c r="E13" s="7">
        <f>Tabelle!I33</f>
        <v/>
      </c>
      <c r="F13" s="7">
        <f>Tabelle!I5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F08</t>
        </is>
      </c>
      <c r="D14" s="7">
        <f>Tabelle!I20</f>
        <v/>
      </c>
      <c r="E14" s="7">
        <f>Tabelle!I34</f>
        <v/>
      </c>
      <c r="F14" s="7">
        <f>Tabelle!I6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F08</t>
        </is>
      </c>
      <c r="D15" s="7">
        <f>Tabelle!I21</f>
        <v/>
      </c>
      <c r="E15" s="7">
        <f>Tabelle!I35</f>
        <v/>
      </c>
      <c r="F15" s="7">
        <f>Tabelle!I7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F08</t>
        </is>
      </c>
      <c r="D16" s="7">
        <f>Tabelle!I22</f>
        <v/>
      </c>
      <c r="E16" s="7">
        <f>Tabelle!I36</f>
        <v/>
      </c>
      <c r="F16" s="7">
        <f>Tabelle!I8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F08</t>
        </is>
      </c>
      <c r="D17" s="7">
        <f>Tabelle!I23</f>
        <v/>
      </c>
      <c r="E17" s="7">
        <f>Tabelle!I37</f>
        <v/>
      </c>
      <c r="F17" s="7">
        <f>Tabelle!I9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F08</t>
        </is>
      </c>
      <c r="D18" s="7">
        <f>Tabelle!I24</f>
        <v/>
      </c>
      <c r="E18" s="7">
        <f>Tabelle!I38</f>
        <v/>
      </c>
      <c r="F18" s="7">
        <f>Tabelle!I10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F08</t>
        </is>
      </c>
      <c r="D19" s="7">
        <f>Tabelle!I25</f>
        <v/>
      </c>
      <c r="E19" s="7">
        <f>Tabelle!I39</f>
        <v/>
      </c>
      <c r="F19" s="7">
        <f>Tabelle!I11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F08</t>
        </is>
      </c>
      <c r="D20" s="7">
        <f>Tabelle!I26</f>
        <v/>
      </c>
      <c r="E20" s="7">
        <f>Tabelle!I40</f>
        <v/>
      </c>
      <c r="F20" s="7">
        <f>Tabelle!I12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F08</t>
        </is>
      </c>
      <c r="D21" s="7">
        <f>Tabelle!I27</f>
        <v/>
      </c>
      <c r="E21" s="7">
        <f>Tabelle!I41</f>
        <v/>
      </c>
      <c r="F21" s="7">
        <f>Tabelle!I13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F08</t>
        </is>
      </c>
      <c r="D22" s="7">
        <f>Tabelle!I28</f>
        <v/>
      </c>
      <c r="E22" s="7">
        <f>Tabelle!I42</f>
        <v/>
      </c>
      <c r="F22" s="7">
        <f>Tabelle!I14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F08</t>
        </is>
      </c>
      <c r="D23" s="7">
        <f>Tabelle!I29</f>
        <v/>
      </c>
      <c r="E23" s="7">
        <f>Tabelle!I43</f>
        <v/>
      </c>
      <c r="F23" s="7">
        <f>Tabelle!I15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F08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F08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Foglio11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6.7109375" customWidth="1" style="74" min="8" max="8"/>
    <col width="17.85546875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F09</t>
        </is>
      </c>
      <c r="D2" s="32" t="n">
        <v>129.43</v>
      </c>
      <c r="E2" s="32" t="n">
        <v>45447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F09</t>
        </is>
      </c>
      <c r="D3" s="32" t="n">
        <v>108.66</v>
      </c>
      <c r="E3" s="32" t="n">
        <v>27652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F09</t>
        </is>
      </c>
      <c r="D4" s="32" t="n">
        <v>111.16</v>
      </c>
      <c r="E4" s="32" t="n">
        <v>36608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F09</t>
        </is>
      </c>
      <c r="D5" s="32" t="n">
        <v>43.4</v>
      </c>
      <c r="E5" s="32" t="n">
        <v>15452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F09</t>
        </is>
      </c>
      <c r="D6" s="32" t="n">
        <v>65.23999999999999</v>
      </c>
      <c r="E6" s="32" t="n">
        <v>17425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F09</t>
        </is>
      </c>
      <c r="D7" s="32" t="n">
        <v>0</v>
      </c>
      <c r="E7" s="32" t="n">
        <v>0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F09</t>
        </is>
      </c>
      <c r="D8" s="32" t="n">
        <v>53.62</v>
      </c>
      <c r="E8" s="32" t="n">
        <v>5264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F09</t>
        </is>
      </c>
      <c r="D9" s="32" t="n">
        <v>14.37</v>
      </c>
      <c r="E9" s="32" t="n">
        <v>2128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F09</t>
        </is>
      </c>
      <c r="D10" s="32" t="n">
        <v>24.86</v>
      </c>
      <c r="E10" s="32" t="n">
        <v>15040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F09</t>
        </is>
      </c>
      <c r="D11" s="32" t="n">
        <v>22.06</v>
      </c>
      <c r="E11" s="32" t="n">
        <v>9360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F09</t>
        </is>
      </c>
      <c r="D12" s="7">
        <f>Tabelle!J18</f>
        <v/>
      </c>
      <c r="E12" s="7">
        <f>Tabelle!J32</f>
        <v/>
      </c>
      <c r="F12" s="7">
        <f>Tabelle!J4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F09</t>
        </is>
      </c>
      <c r="D13" s="7">
        <f>Tabelle!J19</f>
        <v/>
      </c>
      <c r="E13" s="7">
        <f>Tabelle!J33</f>
        <v/>
      </c>
      <c r="F13" s="7">
        <f>Tabelle!J5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F09</t>
        </is>
      </c>
      <c r="D14" s="7">
        <f>Tabelle!J20</f>
        <v/>
      </c>
      <c r="E14" s="7">
        <f>Tabelle!J34</f>
        <v/>
      </c>
      <c r="F14" s="7">
        <f>Tabelle!J6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F09</t>
        </is>
      </c>
      <c r="D15" s="7">
        <f>Tabelle!J21</f>
        <v/>
      </c>
      <c r="E15" s="7">
        <f>Tabelle!J35</f>
        <v/>
      </c>
      <c r="F15" s="7">
        <f>Tabelle!J7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F09</t>
        </is>
      </c>
      <c r="D16" s="7">
        <f>Tabelle!J22</f>
        <v/>
      </c>
      <c r="E16" s="7">
        <f>Tabelle!J36</f>
        <v/>
      </c>
      <c r="F16" s="7">
        <f>Tabelle!J8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F09</t>
        </is>
      </c>
      <c r="D17" s="7">
        <f>Tabelle!J23</f>
        <v/>
      </c>
      <c r="E17" s="7">
        <f>Tabelle!J37</f>
        <v/>
      </c>
      <c r="F17" s="7">
        <f>Tabelle!J9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F09</t>
        </is>
      </c>
      <c r="D18" s="7">
        <f>Tabelle!J24</f>
        <v/>
      </c>
      <c r="E18" s="7">
        <f>Tabelle!J38</f>
        <v/>
      </c>
      <c r="F18" s="7">
        <f>Tabelle!J10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F09</t>
        </is>
      </c>
      <c r="D19" s="7">
        <f>Tabelle!J25</f>
        <v/>
      </c>
      <c r="E19" s="7">
        <f>Tabelle!J39</f>
        <v/>
      </c>
      <c r="F19" s="7">
        <f>Tabelle!J11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F09</t>
        </is>
      </c>
      <c r="D20" s="7">
        <f>Tabelle!J26</f>
        <v/>
      </c>
      <c r="E20" s="7">
        <f>Tabelle!J40</f>
        <v/>
      </c>
      <c r="F20" s="7">
        <f>Tabelle!J12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F09</t>
        </is>
      </c>
      <c r="D21" s="7">
        <f>Tabelle!J27</f>
        <v/>
      </c>
      <c r="E21" s="7">
        <f>Tabelle!J41</f>
        <v/>
      </c>
      <c r="F21" s="7">
        <f>Tabelle!J13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F09</t>
        </is>
      </c>
      <c r="D22" s="7">
        <f>Tabelle!J28</f>
        <v/>
      </c>
      <c r="E22" s="7">
        <f>Tabelle!J42</f>
        <v/>
      </c>
      <c r="F22" s="7">
        <f>Tabelle!J14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F09</t>
        </is>
      </c>
      <c r="D23" s="7">
        <f>Tabelle!J29</f>
        <v/>
      </c>
      <c r="E23" s="7">
        <f>Tabelle!J43</f>
        <v/>
      </c>
      <c r="F23" s="7">
        <f>Tabelle!J15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F09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F09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glio12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F10</t>
        </is>
      </c>
      <c r="D2" s="32" t="n">
        <v>101.86</v>
      </c>
      <c r="E2" s="32" t="n">
        <v>38280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F10</t>
        </is>
      </c>
      <c r="D3" s="32" t="n">
        <v>209.38</v>
      </c>
      <c r="E3" s="32" t="n">
        <v>52900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F10</t>
        </is>
      </c>
      <c r="D4" s="32" t="n">
        <v>38.6</v>
      </c>
      <c r="E4" s="32" t="n">
        <v>47680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F10</t>
        </is>
      </c>
      <c r="D5" s="32" t="n">
        <v>253.99</v>
      </c>
      <c r="E5" s="32" t="n">
        <v>21709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F10</t>
        </is>
      </c>
      <c r="D6" s="32" t="n">
        <v>160.65</v>
      </c>
      <c r="E6" s="32" t="n">
        <v>29355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F10</t>
        </is>
      </c>
      <c r="D7" s="32" t="n">
        <v>36.54</v>
      </c>
      <c r="E7" s="32" t="n">
        <v>20502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F10</t>
        </is>
      </c>
      <c r="D8" s="32" t="n">
        <v>0</v>
      </c>
      <c r="E8" s="32" t="n">
        <v>0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F10</t>
        </is>
      </c>
      <c r="D9" s="32" t="n">
        <v>23.03</v>
      </c>
      <c r="E9" s="32" t="n">
        <v>10980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F10</t>
        </is>
      </c>
      <c r="D10" s="32" t="n">
        <v>51.57</v>
      </c>
      <c r="E10" s="32" t="n">
        <v>26298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F10</t>
        </is>
      </c>
      <c r="D11" s="32" t="n">
        <v>21.41</v>
      </c>
      <c r="E11" s="33" t="n">
        <v>4628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F10</t>
        </is>
      </c>
      <c r="D12" s="7">
        <f>Tabelle!K18</f>
        <v/>
      </c>
      <c r="E12" s="32">
        <f>Tabelle!K32</f>
        <v/>
      </c>
      <c r="F12" s="7">
        <f>Tabelle!K4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F10</t>
        </is>
      </c>
      <c r="D13" s="7">
        <f>Tabelle!K19</f>
        <v/>
      </c>
      <c r="E13" s="32">
        <f>Tabelle!K33</f>
        <v/>
      </c>
      <c r="F13" s="7">
        <f>Tabelle!K5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F10</t>
        </is>
      </c>
      <c r="D14" s="7">
        <f>Tabelle!K20</f>
        <v/>
      </c>
      <c r="E14" s="32">
        <f>Tabelle!K34</f>
        <v/>
      </c>
      <c r="F14" s="7">
        <f>Tabelle!K6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F10</t>
        </is>
      </c>
      <c r="D15" s="7">
        <f>Tabelle!K21</f>
        <v/>
      </c>
      <c r="E15" s="32">
        <f>Tabelle!K35</f>
        <v/>
      </c>
      <c r="F15" s="7">
        <f>Tabelle!K7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F10</t>
        </is>
      </c>
      <c r="D16" s="7">
        <f>Tabelle!K22</f>
        <v/>
      </c>
      <c r="E16" s="32">
        <f>Tabelle!K36</f>
        <v/>
      </c>
      <c r="F16" s="7">
        <f>Tabelle!K8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F10</t>
        </is>
      </c>
      <c r="D17" s="7">
        <f>Tabelle!K23</f>
        <v/>
      </c>
      <c r="E17" s="32">
        <f>Tabelle!K37</f>
        <v/>
      </c>
      <c r="F17" s="7">
        <f>Tabelle!K9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F10</t>
        </is>
      </c>
      <c r="D18" s="7">
        <f>Tabelle!K24</f>
        <v/>
      </c>
      <c r="E18" s="32">
        <f>Tabelle!K38</f>
        <v/>
      </c>
      <c r="F18" s="7">
        <f>Tabelle!K10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F10</t>
        </is>
      </c>
      <c r="D19" s="7">
        <f>Tabelle!K25</f>
        <v/>
      </c>
      <c r="E19" s="32">
        <f>Tabelle!K39</f>
        <v/>
      </c>
      <c r="F19" s="7">
        <f>Tabelle!K11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F10</t>
        </is>
      </c>
      <c r="D20" s="7">
        <f>Tabelle!K26</f>
        <v/>
      </c>
      <c r="E20" s="32">
        <f>Tabelle!K40</f>
        <v/>
      </c>
      <c r="F20" s="7">
        <f>Tabelle!K12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F10</t>
        </is>
      </c>
      <c r="D21" s="7">
        <f>Tabelle!K27</f>
        <v/>
      </c>
      <c r="E21" s="32">
        <f>Tabelle!K41</f>
        <v/>
      </c>
      <c r="F21" s="7">
        <f>Tabelle!K13</f>
        <v/>
      </c>
      <c r="G21" s="31" t="n"/>
      <c r="H21" s="86">
        <f>Tabelle!F118</f>
        <v/>
      </c>
      <c r="I21" s="31" t="n"/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F10</t>
        </is>
      </c>
      <c r="D22" s="7">
        <f>Tabelle!K28</f>
        <v/>
      </c>
      <c r="E22" s="32">
        <f>Tabelle!K42</f>
        <v/>
      </c>
      <c r="F22" s="7">
        <f>Tabelle!K14</f>
        <v/>
      </c>
      <c r="G22" s="31" t="n"/>
      <c r="H22" s="86">
        <f>Tabelle!F119</f>
        <v/>
      </c>
      <c r="I22" s="31" t="n"/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F10</t>
        </is>
      </c>
      <c r="D23" s="7">
        <f>Tabelle!K29</f>
        <v/>
      </c>
      <c r="E23" s="32">
        <f>Tabelle!K43</f>
        <v/>
      </c>
      <c r="F23" s="7">
        <f>Tabelle!K15</f>
        <v/>
      </c>
      <c r="G23" s="31" t="n"/>
      <c r="H23" s="86">
        <f>Tabelle!F120</f>
        <v/>
      </c>
      <c r="I23" s="31" t="n"/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F10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F10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glio13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F11</t>
        </is>
      </c>
      <c r="D2" s="32" t="n">
        <v>324.79</v>
      </c>
      <c r="E2" s="32" t="n">
        <v>140670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F11</t>
        </is>
      </c>
      <c r="D3" s="32" t="n">
        <v>80.13</v>
      </c>
      <c r="E3" s="32" t="n">
        <v>39140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F11</t>
        </is>
      </c>
      <c r="D4" s="32" t="n">
        <v>16.14</v>
      </c>
      <c r="E4" s="32" t="n">
        <v>8600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F11</t>
        </is>
      </c>
      <c r="D5" s="32" t="n">
        <v>18.04</v>
      </c>
      <c r="E5" s="32" t="n">
        <v>10000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F11</t>
        </is>
      </c>
      <c r="D6" s="32" t="n">
        <v>113.6</v>
      </c>
      <c r="E6" s="32" t="n">
        <v>68201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F11</t>
        </is>
      </c>
      <c r="D7" s="32" t="n">
        <v>89.83</v>
      </c>
      <c r="E7" s="32" t="n">
        <v>45462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F11</t>
        </is>
      </c>
      <c r="D8" s="32" t="n">
        <v>320.98</v>
      </c>
      <c r="E8" s="32" t="n">
        <v>135608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F11</t>
        </is>
      </c>
      <c r="D9" s="32" t="n">
        <v>138.87</v>
      </c>
      <c r="E9" s="32" t="n">
        <v>49569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F11</t>
        </is>
      </c>
      <c r="D10" s="32" t="n">
        <v>161.96</v>
      </c>
      <c r="E10" s="32" t="n">
        <v>58891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F11</t>
        </is>
      </c>
      <c r="D11" s="32" t="n">
        <v>324.95</v>
      </c>
      <c r="E11" s="33" t="n">
        <v>97270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F11</t>
        </is>
      </c>
      <c r="D12" s="7">
        <f>Tabelle!L18</f>
        <v/>
      </c>
      <c r="E12" s="32">
        <f>Tabelle!L32</f>
        <v/>
      </c>
      <c r="F12" s="7">
        <f>Tabelle!L4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F11</t>
        </is>
      </c>
      <c r="D13" s="7">
        <f>Tabelle!L19</f>
        <v/>
      </c>
      <c r="E13" s="32">
        <f>Tabelle!L33</f>
        <v/>
      </c>
      <c r="F13" s="7">
        <f>Tabelle!L5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F11</t>
        </is>
      </c>
      <c r="D14" s="7">
        <f>Tabelle!L20</f>
        <v/>
      </c>
      <c r="E14" s="32">
        <f>Tabelle!L34</f>
        <v/>
      </c>
      <c r="F14" s="7">
        <f>Tabelle!L6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F11</t>
        </is>
      </c>
      <c r="D15" s="7">
        <f>Tabelle!L21</f>
        <v/>
      </c>
      <c r="E15" s="32">
        <f>Tabelle!L35</f>
        <v/>
      </c>
      <c r="F15" s="7">
        <f>Tabelle!L7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F11</t>
        </is>
      </c>
      <c r="D16" s="7">
        <f>Tabelle!L22</f>
        <v/>
      </c>
      <c r="E16" s="32">
        <f>Tabelle!L36</f>
        <v/>
      </c>
      <c r="F16" s="7">
        <f>Tabelle!L8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F11</t>
        </is>
      </c>
      <c r="D17" s="7">
        <f>Tabelle!L23</f>
        <v/>
      </c>
      <c r="E17" s="32">
        <f>Tabelle!L37</f>
        <v/>
      </c>
      <c r="F17" s="7">
        <f>Tabelle!L9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F11</t>
        </is>
      </c>
      <c r="D18" s="7">
        <f>Tabelle!L24</f>
        <v/>
      </c>
      <c r="E18" s="32">
        <f>Tabelle!L38</f>
        <v/>
      </c>
      <c r="F18" s="7">
        <f>Tabelle!L10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F11</t>
        </is>
      </c>
      <c r="D19" s="7">
        <f>Tabelle!L25</f>
        <v/>
      </c>
      <c r="E19" s="32">
        <f>Tabelle!L39</f>
        <v/>
      </c>
      <c r="F19" s="7">
        <f>Tabelle!L11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F11</t>
        </is>
      </c>
      <c r="D20" s="7">
        <f>Tabelle!L26</f>
        <v/>
      </c>
      <c r="E20" s="32">
        <f>Tabelle!L40</f>
        <v/>
      </c>
      <c r="F20" s="7">
        <f>Tabelle!L12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F11</t>
        </is>
      </c>
      <c r="D21" s="7">
        <f>Tabelle!L27</f>
        <v/>
      </c>
      <c r="E21" s="32">
        <f>Tabelle!L41</f>
        <v/>
      </c>
      <c r="F21" s="7">
        <f>Tabelle!L13</f>
        <v/>
      </c>
      <c r="G21" s="31" t="n"/>
      <c r="H21" s="86">
        <f>Tabelle!F118</f>
        <v/>
      </c>
      <c r="I21" s="31" t="n"/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F11</t>
        </is>
      </c>
      <c r="D22" s="7">
        <f>Tabelle!L28</f>
        <v/>
      </c>
      <c r="E22" s="32">
        <f>Tabelle!L42</f>
        <v/>
      </c>
      <c r="F22" s="7">
        <f>Tabelle!L14</f>
        <v/>
      </c>
      <c r="G22" s="31" t="n"/>
      <c r="H22" s="86">
        <f>Tabelle!F119</f>
        <v/>
      </c>
      <c r="I22" s="31" t="n"/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F11</t>
        </is>
      </c>
      <c r="D23" s="7">
        <f>Tabelle!L29</f>
        <v/>
      </c>
      <c r="E23" s="32">
        <f>Tabelle!L43</f>
        <v/>
      </c>
      <c r="F23" s="7">
        <f>Tabelle!L15</f>
        <v/>
      </c>
      <c r="G23" s="31" t="n"/>
      <c r="H23" s="86">
        <f>Tabelle!F120</f>
        <v/>
      </c>
      <c r="I23" s="31" t="n"/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F11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F11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glio14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ISOLA1</t>
        </is>
      </c>
      <c r="D2" s="32" t="n">
        <v>19.89</v>
      </c>
      <c r="E2" s="32" t="n">
        <v>15714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ISOLA1</t>
        </is>
      </c>
      <c r="D3" s="32" t="n">
        <v>14.88</v>
      </c>
      <c r="E3" s="32" t="n">
        <v>12219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ISOLA1</t>
        </is>
      </c>
      <c r="D4" s="32" t="n">
        <v>26.77</v>
      </c>
      <c r="E4" s="32" t="n">
        <v>26114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ISOLA1</t>
        </is>
      </c>
      <c r="D5" s="32" t="n">
        <v>4.82</v>
      </c>
      <c r="E5" s="32" t="n">
        <v>3228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ISOLA1</t>
        </is>
      </c>
      <c r="D6" s="32" t="n">
        <v>0</v>
      </c>
      <c r="E6" s="32" t="n">
        <v>0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ISOLA1</t>
        </is>
      </c>
      <c r="D7" s="32" t="n">
        <v>8.49</v>
      </c>
      <c r="E7" s="32" t="n">
        <v>4882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ISOLA1</t>
        </is>
      </c>
      <c r="D8" s="32" t="n">
        <v>60.69</v>
      </c>
      <c r="E8" s="32" t="n">
        <v>39984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ISOLA1</t>
        </is>
      </c>
      <c r="D9" s="32" t="n">
        <v>43.39</v>
      </c>
      <c r="E9" s="32" t="n">
        <v>40507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ISOLA1</t>
        </is>
      </c>
      <c r="D10" s="32" t="n">
        <v>8.4</v>
      </c>
      <c r="E10" s="32" t="n">
        <v>8670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ISOLA1</t>
        </is>
      </c>
      <c r="D11" s="32" t="n">
        <v>37.13</v>
      </c>
      <c r="E11" s="33" t="n">
        <v>38444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ISOLA1</t>
        </is>
      </c>
      <c r="D12" s="7">
        <f>Tabelle!M18</f>
        <v/>
      </c>
      <c r="E12" s="32">
        <f>Tabelle!M32</f>
        <v/>
      </c>
      <c r="F12" s="7">
        <f>Tabelle!M4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ISOLA1</t>
        </is>
      </c>
      <c r="D13" s="7">
        <f>Tabelle!M19</f>
        <v/>
      </c>
      <c r="E13" s="32">
        <f>Tabelle!M33</f>
        <v/>
      </c>
      <c r="F13" s="7">
        <f>Tabelle!M5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ISOLA1</t>
        </is>
      </c>
      <c r="D14" s="7">
        <f>Tabelle!M20</f>
        <v/>
      </c>
      <c r="E14" s="32">
        <f>Tabelle!M34</f>
        <v/>
      </c>
      <c r="F14" s="7">
        <f>Tabelle!M6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ISOLA1</t>
        </is>
      </c>
      <c r="D15" s="7">
        <f>Tabelle!M21</f>
        <v/>
      </c>
      <c r="E15" s="32">
        <f>Tabelle!M35</f>
        <v/>
      </c>
      <c r="F15" s="7">
        <f>Tabelle!M7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ISOLA1</t>
        </is>
      </c>
      <c r="D16" s="7">
        <f>Tabelle!M22</f>
        <v/>
      </c>
      <c r="E16" s="32">
        <f>Tabelle!M36</f>
        <v/>
      </c>
      <c r="F16" s="7">
        <f>Tabelle!M8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ISOLA1</t>
        </is>
      </c>
      <c r="D17" s="7">
        <f>Tabelle!M23</f>
        <v/>
      </c>
      <c r="E17" s="32">
        <f>Tabelle!M37</f>
        <v/>
      </c>
      <c r="F17" s="7">
        <f>Tabelle!M9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ISOLA1</t>
        </is>
      </c>
      <c r="D18" s="7">
        <f>Tabelle!M24</f>
        <v/>
      </c>
      <c r="E18" s="32">
        <f>Tabelle!M38</f>
        <v/>
      </c>
      <c r="F18" s="7">
        <f>Tabelle!M10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ISOLA1</t>
        </is>
      </c>
      <c r="D19" s="7">
        <f>Tabelle!M25</f>
        <v/>
      </c>
      <c r="E19" s="32">
        <f>Tabelle!M39</f>
        <v/>
      </c>
      <c r="F19" s="7">
        <f>Tabelle!M11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ISOLA1</t>
        </is>
      </c>
      <c r="D20" s="7">
        <f>Tabelle!M26</f>
        <v/>
      </c>
      <c r="E20" s="32">
        <f>Tabelle!M40</f>
        <v/>
      </c>
      <c r="F20" s="7">
        <f>Tabelle!M12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ISOLA1</t>
        </is>
      </c>
      <c r="D21" s="7">
        <f>Tabelle!M27</f>
        <v/>
      </c>
      <c r="E21" s="32">
        <f>Tabelle!M41</f>
        <v/>
      </c>
      <c r="F21" s="7">
        <f>Tabelle!M13</f>
        <v/>
      </c>
      <c r="G21" s="31" t="n"/>
      <c r="H21" s="86">
        <f>Tabelle!F118</f>
        <v/>
      </c>
      <c r="I21" s="31" t="n"/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ISOLA1</t>
        </is>
      </c>
      <c r="D22" s="7">
        <f>Tabelle!M28</f>
        <v/>
      </c>
      <c r="E22" s="32">
        <f>Tabelle!M42</f>
        <v/>
      </c>
      <c r="F22" s="7">
        <f>Tabelle!M14</f>
        <v/>
      </c>
      <c r="G22" s="31" t="n"/>
      <c r="H22" s="86">
        <f>Tabelle!F119</f>
        <v/>
      </c>
      <c r="I22" s="31" t="n"/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ISOLA1</t>
        </is>
      </c>
      <c r="D23" s="7">
        <f>Tabelle!M29</f>
        <v/>
      </c>
      <c r="E23" s="32">
        <f>Tabelle!M43</f>
        <v/>
      </c>
      <c r="F23" s="7">
        <f>Tabelle!M15</f>
        <v/>
      </c>
      <c r="G23" s="31" t="n"/>
      <c r="H23" s="86">
        <f>Tabelle!F120</f>
        <v/>
      </c>
      <c r="I23" s="31" t="n"/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ISOLA1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ISOLA1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Foglio15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ISOLA5</t>
        </is>
      </c>
      <c r="D2" s="23" t="n">
        <v>0</v>
      </c>
      <c r="E2" s="23" t="n">
        <v>0</v>
      </c>
      <c r="F2" s="5" t="n"/>
      <c r="G2" s="5" t="n"/>
      <c r="H2" s="87">
        <f>Tabelle!F99</f>
        <v/>
      </c>
      <c r="I2" s="5" t="n"/>
      <c r="J2" s="32">
        <f>Tabelle!B99</f>
        <v/>
      </c>
      <c r="K2" s="83">
        <f>Tabelle!G75</f>
        <v/>
      </c>
    </row>
    <row r="3">
      <c r="A3" s="4" t="n">
        <v>2024</v>
      </c>
      <c r="B3" s="4" t="n">
        <v>2</v>
      </c>
      <c r="C3" s="5" t="inlineStr">
        <is>
          <t>ISOLA5</t>
        </is>
      </c>
      <c r="D3" s="23" t="n">
        <v>0</v>
      </c>
      <c r="E3" s="23" t="n">
        <v>0</v>
      </c>
      <c r="F3" s="5" t="n"/>
      <c r="G3" s="5" t="n"/>
      <c r="H3" s="87">
        <f>Tabelle!F100</f>
        <v/>
      </c>
      <c r="I3" s="5" t="n"/>
      <c r="J3" s="32">
        <f>Tabelle!B100</f>
        <v/>
      </c>
      <c r="K3" s="83">
        <f>Tabelle!G76</f>
        <v/>
      </c>
    </row>
    <row r="4">
      <c r="A4" s="4" t="n">
        <v>2024</v>
      </c>
      <c r="B4" s="4" t="n">
        <v>3</v>
      </c>
      <c r="C4" s="5" t="inlineStr">
        <is>
          <t>ISOLA5</t>
        </is>
      </c>
      <c r="D4" s="23" t="n">
        <v>0</v>
      </c>
      <c r="E4" s="23" t="n">
        <v>0</v>
      </c>
      <c r="F4" s="5" t="n"/>
      <c r="G4" s="5" t="n"/>
      <c r="H4" s="87">
        <f>Tabelle!F101</f>
        <v/>
      </c>
      <c r="I4" s="5" t="n"/>
      <c r="J4" s="32">
        <f>Tabelle!B101</f>
        <v/>
      </c>
      <c r="K4" s="83">
        <f>Tabelle!G77</f>
        <v/>
      </c>
    </row>
    <row r="5">
      <c r="A5" s="4" t="n">
        <v>2024</v>
      </c>
      <c r="B5" s="4" t="n">
        <v>4</v>
      </c>
      <c r="C5" s="5" t="inlineStr">
        <is>
          <t>ISOLA5</t>
        </is>
      </c>
      <c r="D5" s="23" t="n">
        <v>0</v>
      </c>
      <c r="E5" s="23" t="n">
        <v>0</v>
      </c>
      <c r="F5" s="5" t="n"/>
      <c r="G5" s="5" t="n"/>
      <c r="H5" s="87">
        <f>Tabelle!F102</f>
        <v/>
      </c>
      <c r="I5" s="5" t="n"/>
      <c r="J5" s="32">
        <f>Tabelle!B102</f>
        <v/>
      </c>
      <c r="K5" s="83">
        <f>Tabelle!G78</f>
        <v/>
      </c>
    </row>
    <row r="6">
      <c r="A6" s="4" t="n">
        <v>2024</v>
      </c>
      <c r="B6" s="4" t="n">
        <v>5</v>
      </c>
      <c r="C6" s="5" t="inlineStr">
        <is>
          <t>ISOLA5</t>
        </is>
      </c>
      <c r="D6" s="23" t="n">
        <v>0</v>
      </c>
      <c r="E6" s="23" t="n">
        <v>700</v>
      </c>
      <c r="F6" s="5" t="n"/>
      <c r="G6" s="5" t="n"/>
      <c r="H6" s="87">
        <f>Tabelle!F103</f>
        <v/>
      </c>
      <c r="I6" s="5" t="n"/>
      <c r="J6" s="32">
        <f>Tabelle!B103</f>
        <v/>
      </c>
      <c r="K6" s="83">
        <f>Tabelle!G79</f>
        <v/>
      </c>
    </row>
    <row r="7">
      <c r="A7" s="4" t="n">
        <v>2024</v>
      </c>
      <c r="B7" s="4" t="n">
        <v>6</v>
      </c>
      <c r="C7" s="5" t="inlineStr">
        <is>
          <t>ISOLA5</t>
        </is>
      </c>
      <c r="D7" s="23" t="n">
        <v>0</v>
      </c>
      <c r="E7" s="23" t="n">
        <v>0</v>
      </c>
      <c r="F7" s="5" t="n"/>
      <c r="G7" s="5" t="n"/>
      <c r="H7" s="87">
        <f>Tabelle!F104</f>
        <v/>
      </c>
      <c r="I7" s="5" t="n"/>
      <c r="J7" s="32">
        <f>Tabelle!B104</f>
        <v/>
      </c>
      <c r="K7" s="83">
        <f>Tabelle!G80</f>
        <v/>
      </c>
    </row>
    <row r="8">
      <c r="A8" s="4" t="n">
        <v>2024</v>
      </c>
      <c r="B8" s="4" t="n">
        <v>7</v>
      </c>
      <c r="C8" s="5" t="inlineStr">
        <is>
          <t>ISOLA5</t>
        </is>
      </c>
      <c r="D8" s="23" t="n">
        <v>0</v>
      </c>
      <c r="E8" s="23" t="n">
        <v>0</v>
      </c>
      <c r="F8" s="5" t="n"/>
      <c r="G8" s="5" t="n"/>
      <c r="H8" s="87">
        <f>Tabelle!F105</f>
        <v/>
      </c>
      <c r="I8" s="5" t="n"/>
      <c r="J8" s="32">
        <f>Tabelle!B105</f>
        <v/>
      </c>
      <c r="K8" s="83">
        <f>Tabelle!G81</f>
        <v/>
      </c>
    </row>
    <row r="9">
      <c r="A9" s="4" t="n">
        <v>2024</v>
      </c>
      <c r="B9" s="4" t="n">
        <v>8</v>
      </c>
      <c r="C9" s="5" t="inlineStr">
        <is>
          <t>ISOLA5</t>
        </is>
      </c>
      <c r="D9" s="23" t="n">
        <v>0</v>
      </c>
      <c r="E9" s="23" t="n">
        <v>0</v>
      </c>
      <c r="F9" s="5" t="n"/>
      <c r="G9" s="5" t="n"/>
      <c r="H9" s="87">
        <f>Tabelle!F106</f>
        <v/>
      </c>
      <c r="I9" s="5" t="n"/>
      <c r="J9" s="32">
        <f>Tabelle!B106</f>
        <v/>
      </c>
      <c r="K9" s="83">
        <f>Tabelle!G82</f>
        <v/>
      </c>
    </row>
    <row r="10">
      <c r="A10" s="4" t="n">
        <v>2024</v>
      </c>
      <c r="B10" s="4" t="n">
        <v>9</v>
      </c>
      <c r="C10" s="5" t="inlineStr">
        <is>
          <t>ISOLA5</t>
        </is>
      </c>
      <c r="D10" s="23" t="n">
        <v>0</v>
      </c>
      <c r="E10" s="23" t="n">
        <v>500</v>
      </c>
      <c r="F10" s="5" t="n"/>
      <c r="G10" s="5" t="n"/>
      <c r="H10" s="87">
        <f>Tabelle!F107</f>
        <v/>
      </c>
      <c r="I10" s="5" t="n"/>
      <c r="J10" s="32">
        <f>Tabelle!B107</f>
        <v/>
      </c>
      <c r="K10" s="83">
        <f>Tabelle!G83</f>
        <v/>
      </c>
    </row>
    <row r="11">
      <c r="A11" s="4" t="n">
        <v>2024</v>
      </c>
      <c r="B11" s="4" t="n">
        <v>10</v>
      </c>
      <c r="C11" s="5" t="inlineStr">
        <is>
          <t>ISOLA5</t>
        </is>
      </c>
      <c r="D11" s="23" t="n">
        <v>0</v>
      </c>
      <c r="E11" s="24" t="n">
        <v>0</v>
      </c>
      <c r="F11" s="5" t="n"/>
      <c r="G11" s="5" t="n"/>
      <c r="H11" s="87">
        <f>Tabelle!F108</f>
        <v/>
      </c>
      <c r="I11" s="5" t="n"/>
      <c r="J11" s="32">
        <f>Tabelle!B108</f>
        <v/>
      </c>
      <c r="K11" s="83">
        <f>Tabelle!G84</f>
        <v/>
      </c>
    </row>
    <row r="12">
      <c r="A12" s="4" t="n">
        <v>2024</v>
      </c>
      <c r="B12" s="4" t="n">
        <v>11</v>
      </c>
      <c r="C12" s="5" t="inlineStr">
        <is>
          <t>ISOLA5</t>
        </is>
      </c>
      <c r="D12" s="23" t="n">
        <v>0</v>
      </c>
      <c r="E12" s="23" t="n">
        <v>264</v>
      </c>
      <c r="F12" s="7" t="n"/>
      <c r="G12" s="5" t="n"/>
      <c r="H12" s="87">
        <f>Tabelle!F109</f>
        <v/>
      </c>
      <c r="I12" s="9">
        <f>F12*H12</f>
        <v/>
      </c>
      <c r="J12" s="32">
        <f>Tabelle!B109</f>
        <v/>
      </c>
      <c r="K12" s="83">
        <f>Tabelle!G85</f>
        <v/>
      </c>
    </row>
    <row r="13">
      <c r="A13" s="4" t="n">
        <v>2024</v>
      </c>
      <c r="B13" s="4" t="n">
        <v>12</v>
      </c>
      <c r="C13" s="5" t="inlineStr">
        <is>
          <t>ISOLA5</t>
        </is>
      </c>
      <c r="D13" s="23" t="n">
        <v>0</v>
      </c>
      <c r="E13" s="23" t="n">
        <v>0</v>
      </c>
      <c r="F13" s="7" t="n"/>
      <c r="G13" s="5" t="n"/>
      <c r="H13" s="87">
        <f>Tabelle!F110</f>
        <v/>
      </c>
      <c r="I13" s="9">
        <f>F13*H13</f>
        <v/>
      </c>
      <c r="J13" s="32">
        <f>Tabelle!B110</f>
        <v/>
      </c>
      <c r="K13" s="83">
        <f>Tabelle!G86</f>
        <v/>
      </c>
    </row>
    <row r="14">
      <c r="A14" s="6" t="n">
        <v>2025</v>
      </c>
      <c r="B14" s="6" t="n">
        <v>1</v>
      </c>
      <c r="C14" s="5" t="inlineStr">
        <is>
          <t>ISOLA5</t>
        </is>
      </c>
      <c r="D14" s="23" t="n">
        <v>0</v>
      </c>
      <c r="E14" s="23" t="n">
        <v>0</v>
      </c>
      <c r="F14" s="7" t="n"/>
      <c r="G14" s="5" t="n"/>
      <c r="H14" s="87">
        <f>Tabelle!F111</f>
        <v/>
      </c>
      <c r="I14" s="9">
        <f>F14*H14</f>
        <v/>
      </c>
      <c r="J14" s="32">
        <f>Tabelle!B111</f>
        <v/>
      </c>
      <c r="K14" s="83">
        <f>Tabelle!G87</f>
        <v/>
      </c>
    </row>
    <row r="15">
      <c r="A15" s="6" t="n">
        <v>2025</v>
      </c>
      <c r="B15" s="6" t="n">
        <v>2</v>
      </c>
      <c r="C15" s="5" t="inlineStr">
        <is>
          <t>ISOLA5</t>
        </is>
      </c>
      <c r="D15" s="23" t="n">
        <v>0</v>
      </c>
      <c r="E15" s="23" t="n">
        <v>0</v>
      </c>
      <c r="F15" s="7" t="n"/>
      <c r="G15" s="5" t="n"/>
      <c r="H15" s="87">
        <f>Tabelle!F112</f>
        <v/>
      </c>
      <c r="I15" s="9">
        <f>F15*H15</f>
        <v/>
      </c>
      <c r="J15" s="32">
        <f>Tabelle!B112</f>
        <v/>
      </c>
      <c r="K15" s="83">
        <f>Tabelle!G88</f>
        <v/>
      </c>
    </row>
    <row r="16">
      <c r="A16" s="6" t="n">
        <v>2025</v>
      </c>
      <c r="B16" s="6" t="n">
        <v>3</v>
      </c>
      <c r="C16" s="5" t="inlineStr">
        <is>
          <t>ISOLA5</t>
        </is>
      </c>
      <c r="D16" s="23" t="n">
        <v>0</v>
      </c>
      <c r="E16" s="23" t="n">
        <v>0</v>
      </c>
      <c r="F16" s="7" t="n"/>
      <c r="G16" s="5" t="n"/>
      <c r="H16" s="87">
        <f>Tabelle!F113</f>
        <v/>
      </c>
      <c r="I16" s="9">
        <f>F16*H16</f>
        <v/>
      </c>
      <c r="J16" s="32">
        <f>Tabelle!B113</f>
        <v/>
      </c>
      <c r="K16" s="83">
        <f>Tabelle!G89</f>
        <v/>
      </c>
    </row>
    <row r="17">
      <c r="A17" s="6" t="n">
        <v>2025</v>
      </c>
      <c r="B17" s="6" t="n">
        <v>4</v>
      </c>
      <c r="C17" s="5" t="inlineStr">
        <is>
          <t>ISOLA5</t>
        </is>
      </c>
      <c r="D17" s="23" t="n">
        <v>0</v>
      </c>
      <c r="E17" s="23" t="n">
        <v>0</v>
      </c>
      <c r="F17" s="7" t="n"/>
      <c r="G17" s="5" t="n"/>
      <c r="H17" s="87">
        <f>Tabelle!F114</f>
        <v/>
      </c>
      <c r="I17" s="9">
        <f>F17*H17</f>
        <v/>
      </c>
      <c r="J17" s="32">
        <f>Tabelle!B114</f>
        <v/>
      </c>
      <c r="K17" s="83">
        <f>Tabelle!G90</f>
        <v/>
      </c>
    </row>
    <row r="18">
      <c r="A18" s="6" t="n">
        <v>2025</v>
      </c>
      <c r="B18" s="6" t="n">
        <v>5</v>
      </c>
      <c r="C18" s="5" t="inlineStr">
        <is>
          <t>ISOLA5</t>
        </is>
      </c>
      <c r="D18" s="23" t="n">
        <v>0</v>
      </c>
      <c r="E18" s="23" t="n">
        <v>0</v>
      </c>
      <c r="F18" s="7" t="n"/>
      <c r="G18" s="5" t="n"/>
      <c r="H18" s="87">
        <f>Tabelle!F115</f>
        <v/>
      </c>
      <c r="I18" s="9">
        <f>F18*H18</f>
        <v/>
      </c>
      <c r="J18" s="32">
        <f>Tabelle!B115</f>
        <v/>
      </c>
      <c r="K18" s="83">
        <f>Tabelle!G91</f>
        <v/>
      </c>
    </row>
    <row r="19">
      <c r="A19" s="6" t="n">
        <v>2025</v>
      </c>
      <c r="B19" s="6" t="n">
        <v>6</v>
      </c>
      <c r="C19" s="5" t="inlineStr">
        <is>
          <t>ISOLA5</t>
        </is>
      </c>
      <c r="D19" s="23" t="n">
        <v>0</v>
      </c>
      <c r="E19" s="23" t="n">
        <v>0</v>
      </c>
      <c r="F19" s="7" t="n"/>
      <c r="G19" s="5" t="n"/>
      <c r="H19" s="87">
        <f>Tabelle!F116</f>
        <v/>
      </c>
      <c r="I19" s="9">
        <f>F19*H19</f>
        <v/>
      </c>
      <c r="J19" s="32">
        <f>Tabelle!B116</f>
        <v/>
      </c>
      <c r="K19" s="83">
        <f>Tabelle!G92</f>
        <v/>
      </c>
    </row>
    <row r="20">
      <c r="A20" s="6" t="n">
        <v>2025</v>
      </c>
      <c r="B20" s="6" t="n">
        <v>7</v>
      </c>
      <c r="C20" s="5" t="inlineStr">
        <is>
          <t>ISOLA5</t>
        </is>
      </c>
      <c r="D20" s="23" t="n">
        <v>0</v>
      </c>
      <c r="E20" s="23" t="n">
        <v>0</v>
      </c>
      <c r="F20" s="7" t="n"/>
      <c r="G20" s="5" t="n"/>
      <c r="H20" s="87">
        <f>Tabelle!F117</f>
        <v/>
      </c>
      <c r="I20" s="9">
        <f>F20*H20</f>
        <v/>
      </c>
      <c r="J20" s="32">
        <f>Tabelle!B117</f>
        <v/>
      </c>
      <c r="K20" s="83">
        <f>Tabelle!G93</f>
        <v/>
      </c>
    </row>
    <row r="21">
      <c r="A21" s="6" t="n">
        <v>2025</v>
      </c>
      <c r="B21" s="6" t="n">
        <v>8</v>
      </c>
      <c r="C21" s="5" t="inlineStr">
        <is>
          <t>ISOLA5</t>
        </is>
      </c>
      <c r="D21" s="23" t="n">
        <v>0</v>
      </c>
      <c r="E21" s="23" t="n">
        <v>0</v>
      </c>
      <c r="F21" s="5" t="n"/>
      <c r="G21" s="5" t="n"/>
      <c r="H21" s="87">
        <f>Tabelle!F118</f>
        <v/>
      </c>
      <c r="I21" s="5" t="n"/>
      <c r="J21" s="32">
        <f>Tabelle!B118</f>
        <v/>
      </c>
      <c r="K21" s="83">
        <f>Tabelle!G94</f>
        <v/>
      </c>
    </row>
    <row r="22">
      <c r="A22" s="6" t="n">
        <v>2025</v>
      </c>
      <c r="B22" s="6" t="n">
        <v>9</v>
      </c>
      <c r="C22" s="5" t="inlineStr">
        <is>
          <t>ISOLA5</t>
        </is>
      </c>
      <c r="D22" s="23" t="n">
        <v>0</v>
      </c>
      <c r="E22" s="23" t="n">
        <v>0</v>
      </c>
      <c r="F22" s="5" t="n"/>
      <c r="G22" s="5" t="n"/>
      <c r="H22" s="87">
        <f>Tabelle!F119</f>
        <v/>
      </c>
      <c r="I22" s="5" t="n"/>
      <c r="J22" s="32">
        <f>Tabelle!B119</f>
        <v/>
      </c>
      <c r="K22" s="83">
        <f>Tabelle!G95</f>
        <v/>
      </c>
    </row>
    <row r="23">
      <c r="A23" s="6" t="n">
        <v>2025</v>
      </c>
      <c r="B23" s="6" t="n">
        <v>10</v>
      </c>
      <c r="C23" s="5" t="inlineStr">
        <is>
          <t>ISOLA5</t>
        </is>
      </c>
      <c r="D23" s="23" t="n">
        <v>0</v>
      </c>
      <c r="E23" s="23" t="n">
        <v>0</v>
      </c>
      <c r="F23" s="5" t="n"/>
      <c r="G23" s="5" t="n"/>
      <c r="H23" s="87">
        <f>Tabelle!F120</f>
        <v/>
      </c>
      <c r="I23" s="5" t="n"/>
      <c r="J23" s="32">
        <f>Tabelle!B120</f>
        <v/>
      </c>
      <c r="K23" s="83">
        <f>Tabelle!G96</f>
        <v/>
      </c>
    </row>
    <row r="24">
      <c r="A24" s="6" t="n">
        <v>2025</v>
      </c>
      <c r="B24" s="6" t="n">
        <v>11</v>
      </c>
      <c r="C24" s="5" t="inlineStr">
        <is>
          <t>ISOLA5</t>
        </is>
      </c>
      <c r="D24" s="5" t="n"/>
      <c r="E24" s="5" t="n"/>
      <c r="F24" s="5" t="n"/>
      <c r="G24" s="5" t="n"/>
      <c r="H24" s="87">
        <f>Tabelle!F121</f>
        <v/>
      </c>
      <c r="I24" s="5" t="n"/>
      <c r="J24" s="32">
        <f>Tabelle!B121</f>
        <v/>
      </c>
      <c r="K24" s="83">
        <f>Tabelle!G99</f>
        <v/>
      </c>
    </row>
    <row r="25">
      <c r="A25" s="6" t="n">
        <v>2025</v>
      </c>
      <c r="B25" s="6" t="n">
        <v>12</v>
      </c>
      <c r="C25" s="5" t="inlineStr">
        <is>
          <t>ISOLA5</t>
        </is>
      </c>
      <c r="D25" s="5" t="n"/>
      <c r="E25" s="5" t="n"/>
      <c r="F25" s="5" t="n"/>
      <c r="G25" s="5" t="n"/>
      <c r="H25" s="87">
        <f>Tabelle!F122</f>
        <v/>
      </c>
      <c r="I25" s="5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glio16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9.140625" customWidth="1" style="42" min="1" max="2"/>
    <col width="19.5703125" bestFit="1" customWidth="1" style="42" min="3" max="3"/>
    <col width="23.7109375" bestFit="1" customWidth="1" style="42" min="4" max="4"/>
    <col width="13.42578125" bestFit="1" customWidth="1" style="42" min="5" max="5"/>
    <col width="9.140625" customWidth="1" style="42" min="6" max="7"/>
    <col width="12.85546875" bestFit="1" customWidth="1" style="42" min="8" max="8"/>
    <col width="14.5703125" bestFit="1" customWidth="1" style="42" min="9" max="9"/>
    <col width="21.28515625" customWidth="1" style="42" min="10" max="10"/>
    <col width="24.140625" customWidth="1" style="42" min="11" max="11"/>
    <col width="9.140625" customWidth="1" style="42" min="12" max="19"/>
    <col width="9.140625" customWidth="1" style="42" min="20" max="16384"/>
  </cols>
  <sheetData>
    <row r="1">
      <c r="A1" s="39" t="inlineStr">
        <is>
          <t xml:space="preserve">anno </t>
        </is>
      </c>
      <c r="B1" s="39" t="inlineStr">
        <is>
          <t xml:space="preserve">mese </t>
        </is>
      </c>
      <c r="C1" s="39" t="inlineStr">
        <is>
          <t>macchina o impianto</t>
        </is>
      </c>
      <c r="D1" s="40" t="inlineStr">
        <is>
          <t>ore produzione macchina</t>
        </is>
      </c>
      <c r="E1" s="40" t="inlineStr">
        <is>
          <t>pezzi prodotti</t>
        </is>
      </c>
      <c r="F1" s="40" t="inlineStr">
        <is>
          <t xml:space="preserve">consumo </t>
        </is>
      </c>
      <c r="G1" s="40" t="inlineStr">
        <is>
          <t xml:space="preserve">lettura </t>
        </is>
      </c>
      <c r="H1" s="40" t="inlineStr">
        <is>
          <t>costo energia</t>
        </is>
      </c>
      <c r="I1" s="40" t="inlineStr">
        <is>
          <t>costo macchina</t>
        </is>
      </c>
      <c r="J1" s="41" t="inlineStr">
        <is>
          <t>consumo da bolletta</t>
        </is>
      </c>
      <c r="K1" s="41" t="inlineStr">
        <is>
          <t>totale bolletta</t>
        </is>
      </c>
    </row>
    <row r="2">
      <c r="A2" s="43" t="n">
        <v>2024</v>
      </c>
      <c r="B2" s="43" t="n">
        <v>1</v>
      </c>
      <c r="C2" s="32" t="inlineStr">
        <is>
          <t>M1030</t>
        </is>
      </c>
      <c r="D2" s="32" t="n">
        <v>55.1</v>
      </c>
      <c r="E2" s="32" t="n">
        <v>45289</v>
      </c>
      <c r="F2" s="32" t="n"/>
      <c r="G2" s="32" t="n"/>
      <c r="H2" s="88">
        <f>Tabelle!F99</f>
        <v/>
      </c>
      <c r="I2" s="32" t="n"/>
      <c r="J2" s="32">
        <f>Tabelle!B99</f>
        <v/>
      </c>
      <c r="K2" s="83">
        <f>Tabelle!G75</f>
        <v/>
      </c>
    </row>
    <row r="3">
      <c r="A3" s="43" t="n">
        <v>2024</v>
      </c>
      <c r="B3" s="43" t="n">
        <v>2</v>
      </c>
      <c r="C3" s="32" t="inlineStr">
        <is>
          <t>M1030</t>
        </is>
      </c>
      <c r="D3" s="32" t="n">
        <v>12.43</v>
      </c>
      <c r="E3" s="32" t="n">
        <v>10870</v>
      </c>
      <c r="F3" s="32" t="n"/>
      <c r="G3" s="32" t="n"/>
      <c r="H3" s="88">
        <f>Tabelle!F100</f>
        <v/>
      </c>
      <c r="I3" s="32" t="n"/>
      <c r="J3" s="32">
        <f>Tabelle!B100</f>
        <v/>
      </c>
      <c r="K3" s="83">
        <f>Tabelle!G76</f>
        <v/>
      </c>
    </row>
    <row r="4">
      <c r="A4" s="43" t="n">
        <v>2024</v>
      </c>
      <c r="B4" s="43" t="n">
        <v>3</v>
      </c>
      <c r="C4" s="32" t="inlineStr">
        <is>
          <t>M1030</t>
        </is>
      </c>
      <c r="D4" s="32" t="n">
        <v>52.89</v>
      </c>
      <c r="E4" s="32" t="n">
        <v>50936</v>
      </c>
      <c r="F4" s="32" t="n"/>
      <c r="G4" s="32" t="n"/>
      <c r="H4" s="88">
        <f>Tabelle!F101</f>
        <v/>
      </c>
      <c r="I4" s="32" t="n"/>
      <c r="J4" s="32">
        <f>Tabelle!B101</f>
        <v/>
      </c>
      <c r="K4" s="83">
        <f>Tabelle!G77</f>
        <v/>
      </c>
    </row>
    <row r="5">
      <c r="A5" s="43" t="n">
        <v>2024</v>
      </c>
      <c r="B5" s="43" t="n">
        <v>4</v>
      </c>
      <c r="C5" s="32" t="inlineStr">
        <is>
          <t>M1030</t>
        </is>
      </c>
      <c r="D5" s="32" t="n">
        <v>53.8</v>
      </c>
      <c r="E5" s="32" t="n">
        <v>62133</v>
      </c>
      <c r="F5" s="32" t="n"/>
      <c r="G5" s="32" t="n"/>
      <c r="H5" s="88">
        <f>Tabelle!F102</f>
        <v/>
      </c>
      <c r="I5" s="32" t="n"/>
      <c r="J5" s="32">
        <f>Tabelle!B102</f>
        <v/>
      </c>
      <c r="K5" s="83">
        <f>Tabelle!G78</f>
        <v/>
      </c>
    </row>
    <row r="6">
      <c r="A6" s="43" t="n">
        <v>2024</v>
      </c>
      <c r="B6" s="43" t="n">
        <v>5</v>
      </c>
      <c r="C6" s="32" t="inlineStr">
        <is>
          <t>M1030</t>
        </is>
      </c>
      <c r="D6" s="32" t="n">
        <v>71.44</v>
      </c>
      <c r="E6" s="32" t="n">
        <v>78378</v>
      </c>
      <c r="F6" s="32" t="n"/>
      <c r="G6" s="32" t="n"/>
      <c r="H6" s="88">
        <f>Tabelle!F103</f>
        <v/>
      </c>
      <c r="I6" s="32" t="n"/>
      <c r="J6" s="32">
        <f>Tabelle!B103</f>
        <v/>
      </c>
      <c r="K6" s="83">
        <f>Tabelle!G79</f>
        <v/>
      </c>
    </row>
    <row r="7">
      <c r="A7" s="43" t="n">
        <v>2024</v>
      </c>
      <c r="B7" s="43" t="n">
        <v>6</v>
      </c>
      <c r="C7" s="32" t="inlineStr">
        <is>
          <t>M1030</t>
        </is>
      </c>
      <c r="D7" s="32" t="n">
        <v>103.25</v>
      </c>
      <c r="E7" s="32" t="n">
        <v>134713</v>
      </c>
      <c r="F7" s="32" t="n"/>
      <c r="G7" s="32" t="n"/>
      <c r="H7" s="88">
        <f>Tabelle!F104</f>
        <v/>
      </c>
      <c r="I7" s="32" t="n"/>
      <c r="J7" s="32">
        <f>Tabelle!B104</f>
        <v/>
      </c>
      <c r="K7" s="83">
        <f>Tabelle!G80</f>
        <v/>
      </c>
    </row>
    <row r="8">
      <c r="A8" s="43" t="n">
        <v>2024</v>
      </c>
      <c r="B8" s="43" t="n">
        <v>7</v>
      </c>
      <c r="C8" s="32" t="inlineStr">
        <is>
          <t>M1030</t>
        </is>
      </c>
      <c r="D8" s="32" t="n">
        <v>127.09</v>
      </c>
      <c r="E8" s="32" t="n">
        <v>110641</v>
      </c>
      <c r="F8" s="32" t="n"/>
      <c r="G8" s="32" t="n"/>
      <c r="H8" s="88">
        <f>Tabelle!F105</f>
        <v/>
      </c>
      <c r="I8" s="32" t="n"/>
      <c r="J8" s="32">
        <f>Tabelle!B105</f>
        <v/>
      </c>
      <c r="K8" s="83">
        <f>Tabelle!G81</f>
        <v/>
      </c>
    </row>
    <row r="9">
      <c r="A9" s="43" t="n">
        <v>2024</v>
      </c>
      <c r="B9" s="43" t="n">
        <v>8</v>
      </c>
      <c r="C9" s="32" t="inlineStr">
        <is>
          <t>M1030</t>
        </is>
      </c>
      <c r="D9" s="32" t="n">
        <v>33.31</v>
      </c>
      <c r="E9" s="32" t="n">
        <v>42210</v>
      </c>
      <c r="F9" s="32" t="n"/>
      <c r="G9" s="32" t="n"/>
      <c r="H9" s="88">
        <f>Tabelle!F106</f>
        <v/>
      </c>
      <c r="I9" s="32" t="n"/>
      <c r="J9" s="32">
        <f>Tabelle!B106</f>
        <v/>
      </c>
      <c r="K9" s="83">
        <f>Tabelle!G82</f>
        <v/>
      </c>
    </row>
    <row r="10">
      <c r="A10" s="43" t="n">
        <v>2024</v>
      </c>
      <c r="B10" s="43" t="n">
        <v>9</v>
      </c>
      <c r="C10" s="32" t="inlineStr">
        <is>
          <t>M1030</t>
        </is>
      </c>
      <c r="D10" s="32" t="n">
        <v>71.43000000000001</v>
      </c>
      <c r="E10" s="32" t="n">
        <v>74797</v>
      </c>
      <c r="F10" s="32" t="n"/>
      <c r="G10" s="32" t="n"/>
      <c r="H10" s="88">
        <f>Tabelle!F107</f>
        <v/>
      </c>
      <c r="I10" s="32" t="n"/>
      <c r="J10" s="32">
        <f>Tabelle!B107</f>
        <v/>
      </c>
      <c r="K10" s="83">
        <f>Tabelle!G83</f>
        <v/>
      </c>
    </row>
    <row r="11">
      <c r="A11" s="43" t="n">
        <v>2024</v>
      </c>
      <c r="B11" s="43" t="n">
        <v>10</v>
      </c>
      <c r="C11" s="32" t="inlineStr">
        <is>
          <t>M1030</t>
        </is>
      </c>
      <c r="D11" s="32" t="n">
        <v>128.34</v>
      </c>
      <c r="E11" s="33" t="n">
        <v>146262</v>
      </c>
      <c r="F11" s="32" t="n"/>
      <c r="G11" s="32" t="n"/>
      <c r="H11" s="88">
        <f>Tabelle!F108</f>
        <v/>
      </c>
      <c r="I11" s="32" t="n"/>
      <c r="J11" s="32">
        <f>Tabelle!B108</f>
        <v/>
      </c>
      <c r="K11" s="83">
        <f>Tabelle!G84</f>
        <v/>
      </c>
    </row>
    <row r="12">
      <c r="A12" s="43" t="n">
        <v>2024</v>
      </c>
      <c r="B12" s="43" t="n">
        <v>11</v>
      </c>
      <c r="C12" s="32" t="inlineStr">
        <is>
          <t>M1030</t>
        </is>
      </c>
      <c r="D12" s="25">
        <f>Tabelle!N18</f>
        <v/>
      </c>
      <c r="E12" s="32">
        <f>Tabelle!N32</f>
        <v/>
      </c>
      <c r="F12" s="25">
        <f>Tabelle!N4</f>
        <v/>
      </c>
      <c r="G12" s="32" t="n"/>
      <c r="H12" s="88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43" t="n">
        <v>2024</v>
      </c>
      <c r="B13" s="43" t="n">
        <v>12</v>
      </c>
      <c r="C13" s="32" t="inlineStr">
        <is>
          <t>M1030</t>
        </is>
      </c>
      <c r="D13" s="25">
        <f>Tabelle!N19</f>
        <v/>
      </c>
      <c r="E13" s="32">
        <f>Tabelle!N33</f>
        <v/>
      </c>
      <c r="F13" s="25">
        <f>Tabelle!N5</f>
        <v/>
      </c>
      <c r="G13" s="32" t="n"/>
      <c r="H13" s="88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44" t="n">
        <v>2025</v>
      </c>
      <c r="B14" s="44" t="n">
        <v>1</v>
      </c>
      <c r="C14" s="32" t="inlineStr">
        <is>
          <t>M1030</t>
        </is>
      </c>
      <c r="D14" s="25">
        <f>Tabelle!N20</f>
        <v/>
      </c>
      <c r="E14" s="32">
        <f>Tabelle!N34</f>
        <v/>
      </c>
      <c r="F14" s="25">
        <f>Tabelle!N6</f>
        <v/>
      </c>
      <c r="G14" s="32" t="n"/>
      <c r="H14" s="88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44" t="n">
        <v>2025</v>
      </c>
      <c r="B15" s="44" t="n">
        <v>2</v>
      </c>
      <c r="C15" s="32" t="inlineStr">
        <is>
          <t>M1030</t>
        </is>
      </c>
      <c r="D15" s="25">
        <f>Tabelle!N21</f>
        <v/>
      </c>
      <c r="E15" s="32">
        <f>Tabelle!N35</f>
        <v/>
      </c>
      <c r="F15" s="25">
        <f>Tabelle!N7</f>
        <v/>
      </c>
      <c r="G15" s="32" t="n"/>
      <c r="H15" s="88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44" t="n">
        <v>2025</v>
      </c>
      <c r="B16" s="44" t="n">
        <v>3</v>
      </c>
      <c r="C16" s="32" t="inlineStr">
        <is>
          <t>M1030</t>
        </is>
      </c>
      <c r="D16" s="25">
        <f>Tabelle!N22</f>
        <v/>
      </c>
      <c r="E16" s="32">
        <f>Tabelle!N36</f>
        <v/>
      </c>
      <c r="F16" s="25">
        <f>Tabelle!N8</f>
        <v/>
      </c>
      <c r="G16" s="32" t="n"/>
      <c r="H16" s="88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44" t="n">
        <v>2025</v>
      </c>
      <c r="B17" s="44" t="n">
        <v>4</v>
      </c>
      <c r="C17" s="32" t="inlineStr">
        <is>
          <t>M1030</t>
        </is>
      </c>
      <c r="D17" s="25">
        <f>Tabelle!N23</f>
        <v/>
      </c>
      <c r="E17" s="32">
        <f>Tabelle!N37</f>
        <v/>
      </c>
      <c r="F17" s="25">
        <f>Tabelle!N9</f>
        <v/>
      </c>
      <c r="G17" s="32" t="n"/>
      <c r="H17" s="88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44" t="n">
        <v>2025</v>
      </c>
      <c r="B18" s="44" t="n">
        <v>5</v>
      </c>
      <c r="C18" s="32" t="inlineStr">
        <is>
          <t>M1030</t>
        </is>
      </c>
      <c r="D18" s="25">
        <f>Tabelle!N24</f>
        <v/>
      </c>
      <c r="E18" s="32">
        <f>Tabelle!N38</f>
        <v/>
      </c>
      <c r="F18" s="25">
        <f>Tabelle!N10</f>
        <v/>
      </c>
      <c r="G18" s="32" t="n"/>
      <c r="H18" s="88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44" t="n">
        <v>2025</v>
      </c>
      <c r="B19" s="44" t="n">
        <v>6</v>
      </c>
      <c r="C19" s="32" t="inlineStr">
        <is>
          <t>M1030</t>
        </is>
      </c>
      <c r="D19" s="25">
        <f>Tabelle!N25</f>
        <v/>
      </c>
      <c r="E19" s="32">
        <f>Tabelle!N39</f>
        <v/>
      </c>
      <c r="F19" s="25">
        <f>Tabelle!N11</f>
        <v/>
      </c>
      <c r="G19" s="32" t="n"/>
      <c r="H19" s="88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44" t="n">
        <v>2025</v>
      </c>
      <c r="B20" s="44" t="n">
        <v>7</v>
      </c>
      <c r="C20" s="32" t="inlineStr">
        <is>
          <t>M1030</t>
        </is>
      </c>
      <c r="D20" s="25">
        <f>Tabelle!N26</f>
        <v/>
      </c>
      <c r="E20" s="32">
        <f>Tabelle!N40</f>
        <v/>
      </c>
      <c r="F20" s="25">
        <f>Tabelle!N12</f>
        <v/>
      </c>
      <c r="G20" s="32" t="n"/>
      <c r="H20" s="88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44" t="n">
        <v>2025</v>
      </c>
      <c r="B21" s="44" t="n">
        <v>8</v>
      </c>
      <c r="C21" s="32" t="inlineStr">
        <is>
          <t>M1030</t>
        </is>
      </c>
      <c r="D21" s="25">
        <f>Tabelle!N27</f>
        <v/>
      </c>
      <c r="E21" s="32">
        <f>Tabelle!N41</f>
        <v/>
      </c>
      <c r="F21" s="25">
        <f>Tabelle!N13</f>
        <v/>
      </c>
      <c r="G21" s="32" t="n"/>
      <c r="H21" s="88">
        <f>Tabelle!F118</f>
        <v/>
      </c>
      <c r="I21" s="32" t="n"/>
      <c r="J21" s="32">
        <f>Tabelle!B118</f>
        <v/>
      </c>
      <c r="K21" s="83">
        <f>Tabelle!G94</f>
        <v/>
      </c>
    </row>
    <row r="22">
      <c r="A22" s="44" t="n">
        <v>2025</v>
      </c>
      <c r="B22" s="44" t="n">
        <v>9</v>
      </c>
      <c r="C22" s="32" t="inlineStr">
        <is>
          <t>M1030</t>
        </is>
      </c>
      <c r="D22" s="25">
        <f>Tabelle!N28</f>
        <v/>
      </c>
      <c r="E22" s="32">
        <f>Tabelle!N42</f>
        <v/>
      </c>
      <c r="F22" s="25">
        <f>Tabelle!N14</f>
        <v/>
      </c>
      <c r="G22" s="32" t="n"/>
      <c r="H22" s="88">
        <f>Tabelle!F119</f>
        <v/>
      </c>
      <c r="I22" s="32" t="n"/>
      <c r="J22" s="32">
        <f>Tabelle!B119</f>
        <v/>
      </c>
      <c r="K22" s="83">
        <f>Tabelle!G95</f>
        <v/>
      </c>
    </row>
    <row r="23">
      <c r="A23" s="44" t="n">
        <v>2025</v>
      </c>
      <c r="B23" s="44" t="n">
        <v>10</v>
      </c>
      <c r="C23" s="32" t="inlineStr">
        <is>
          <t>M1030</t>
        </is>
      </c>
      <c r="D23" s="25">
        <f>Tabelle!N29</f>
        <v/>
      </c>
      <c r="E23" s="32">
        <f>Tabelle!N43</f>
        <v/>
      </c>
      <c r="F23" s="25">
        <f>Tabelle!N15</f>
        <v/>
      </c>
      <c r="G23" s="32" t="n"/>
      <c r="H23" s="88">
        <f>Tabelle!F120</f>
        <v/>
      </c>
      <c r="I23" s="32" t="n"/>
      <c r="J23" s="32">
        <f>Tabelle!B120</f>
        <v/>
      </c>
      <c r="K23" s="83">
        <f>Tabelle!G96</f>
        <v/>
      </c>
    </row>
    <row r="24">
      <c r="A24" s="44" t="n">
        <v>2025</v>
      </c>
      <c r="B24" s="44" t="n">
        <v>11</v>
      </c>
      <c r="C24" s="32" t="inlineStr">
        <is>
          <t>M1030</t>
        </is>
      </c>
      <c r="D24" s="32" t="n"/>
      <c r="E24" s="32" t="n"/>
      <c r="F24" s="32" t="n"/>
      <c r="G24" s="32" t="n"/>
      <c r="H24" s="88">
        <f>Tabelle!F121</f>
        <v/>
      </c>
      <c r="I24" s="32" t="n"/>
      <c r="J24" s="32">
        <f>Tabelle!B121</f>
        <v/>
      </c>
      <c r="K24" s="83">
        <f>Tabelle!G99</f>
        <v/>
      </c>
    </row>
    <row r="25">
      <c r="A25" s="44" t="n">
        <v>2025</v>
      </c>
      <c r="B25" s="44" t="n">
        <v>12</v>
      </c>
      <c r="C25" s="32" t="inlineStr">
        <is>
          <t>M1030</t>
        </is>
      </c>
      <c r="D25" s="32" t="n"/>
      <c r="E25" s="32" t="n"/>
      <c r="F25" s="32" t="n"/>
      <c r="G25" s="32" t="n"/>
      <c r="H25" s="88">
        <f>Tabelle!F122</f>
        <v/>
      </c>
      <c r="I25" s="32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 codeName="Foglio17">
    <outlinePr summaryBelow="1" summaryRight="1"/>
    <pageSetUpPr/>
  </sheetPr>
  <dimension ref="A1:K25"/>
  <sheetViews>
    <sheetView workbookViewId="0">
      <selection activeCell="F24" sqref="F24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MANUA</t>
        </is>
      </c>
      <c r="D2" s="23" t="n">
        <v>0</v>
      </c>
      <c r="E2" s="23" t="n">
        <v>744</v>
      </c>
      <c r="F2" s="5" t="n"/>
      <c r="G2" s="5" t="n"/>
      <c r="H2" s="87">
        <f>Tabelle!F99</f>
        <v/>
      </c>
      <c r="I2" s="5" t="n"/>
      <c r="J2" s="32">
        <f>Tabelle!B99</f>
        <v/>
      </c>
      <c r="K2" s="83">
        <f>Tabelle!G75</f>
        <v/>
      </c>
    </row>
    <row r="3">
      <c r="A3" s="4" t="n">
        <v>2024</v>
      </c>
      <c r="B3" s="4" t="n">
        <v>2</v>
      </c>
      <c r="C3" s="5" t="inlineStr">
        <is>
          <t>MANUA</t>
        </is>
      </c>
      <c r="D3" s="23" t="n">
        <v>0</v>
      </c>
      <c r="E3" s="23" t="n">
        <v>376</v>
      </c>
      <c r="F3" s="5" t="n"/>
      <c r="G3" s="5" t="n"/>
      <c r="H3" s="87">
        <f>Tabelle!F100</f>
        <v/>
      </c>
      <c r="I3" s="5" t="n"/>
      <c r="J3" s="32">
        <f>Tabelle!B100</f>
        <v/>
      </c>
      <c r="K3" s="83">
        <f>Tabelle!G76</f>
        <v/>
      </c>
    </row>
    <row r="4">
      <c r="A4" s="4" t="n">
        <v>2024</v>
      </c>
      <c r="B4" s="4" t="n">
        <v>3</v>
      </c>
      <c r="C4" s="5" t="inlineStr">
        <is>
          <t>MANUA</t>
        </is>
      </c>
      <c r="D4" s="23" t="n">
        <v>0</v>
      </c>
      <c r="E4" s="23" t="n">
        <v>0</v>
      </c>
      <c r="F4" s="5" t="n"/>
      <c r="G4" s="5" t="n"/>
      <c r="H4" s="87">
        <f>Tabelle!F101</f>
        <v/>
      </c>
      <c r="I4" s="5" t="n"/>
      <c r="J4" s="32">
        <f>Tabelle!B101</f>
        <v/>
      </c>
      <c r="K4" s="83">
        <f>Tabelle!G77</f>
        <v/>
      </c>
    </row>
    <row r="5">
      <c r="A5" s="4" t="n">
        <v>2024</v>
      </c>
      <c r="B5" s="4" t="n">
        <v>4</v>
      </c>
      <c r="C5" s="5" t="inlineStr">
        <is>
          <t>MANUA</t>
        </is>
      </c>
      <c r="D5" s="23" t="n">
        <v>0</v>
      </c>
      <c r="E5" s="23" t="n">
        <v>0</v>
      </c>
      <c r="F5" s="5" t="n"/>
      <c r="G5" s="5" t="n"/>
      <c r="H5" s="87">
        <f>Tabelle!F102</f>
        <v/>
      </c>
      <c r="I5" s="5" t="n"/>
      <c r="J5" s="32">
        <f>Tabelle!B102</f>
        <v/>
      </c>
      <c r="K5" s="83">
        <f>Tabelle!G78</f>
        <v/>
      </c>
    </row>
    <row r="6">
      <c r="A6" s="4" t="n">
        <v>2024</v>
      </c>
      <c r="B6" s="4" t="n">
        <v>5</v>
      </c>
      <c r="C6" s="5" t="inlineStr">
        <is>
          <t>MANUA</t>
        </is>
      </c>
      <c r="D6" s="23" t="n">
        <v>0</v>
      </c>
      <c r="E6" s="23" t="n">
        <v>576</v>
      </c>
      <c r="F6" s="5" t="n"/>
      <c r="G6" s="5" t="n"/>
      <c r="H6" s="87">
        <f>Tabelle!F103</f>
        <v/>
      </c>
      <c r="I6" s="5" t="n"/>
      <c r="J6" s="32">
        <f>Tabelle!B103</f>
        <v/>
      </c>
      <c r="K6" s="83">
        <f>Tabelle!G79</f>
        <v/>
      </c>
    </row>
    <row r="7">
      <c r="A7" s="4" t="n">
        <v>2024</v>
      </c>
      <c r="B7" s="4" t="n">
        <v>6</v>
      </c>
      <c r="C7" s="5" t="inlineStr">
        <is>
          <t>MANUA</t>
        </is>
      </c>
      <c r="D7" s="23" t="n">
        <v>0</v>
      </c>
      <c r="E7" s="23" t="n">
        <v>250</v>
      </c>
      <c r="F7" s="5" t="n"/>
      <c r="G7" s="5" t="n"/>
      <c r="H7" s="87">
        <f>Tabelle!F104</f>
        <v/>
      </c>
      <c r="I7" s="5" t="n"/>
      <c r="J7" s="32">
        <f>Tabelle!B104</f>
        <v/>
      </c>
      <c r="K7" s="83">
        <f>Tabelle!G80</f>
        <v/>
      </c>
    </row>
    <row r="8">
      <c r="A8" s="4" t="n">
        <v>2024</v>
      </c>
      <c r="B8" s="4" t="n">
        <v>7</v>
      </c>
      <c r="C8" s="5" t="inlineStr">
        <is>
          <t>MANUA</t>
        </is>
      </c>
      <c r="D8" s="23" t="n">
        <v>0</v>
      </c>
      <c r="E8" s="23" t="n">
        <v>15453</v>
      </c>
      <c r="F8" s="5" t="n"/>
      <c r="G8" s="5" t="n"/>
      <c r="H8" s="87">
        <f>Tabelle!F105</f>
        <v/>
      </c>
      <c r="I8" s="5" t="n"/>
      <c r="J8" s="32">
        <f>Tabelle!B105</f>
        <v/>
      </c>
      <c r="K8" s="83">
        <f>Tabelle!G81</f>
        <v/>
      </c>
    </row>
    <row r="9">
      <c r="A9" s="4" t="n">
        <v>2024</v>
      </c>
      <c r="B9" s="4" t="n">
        <v>8</v>
      </c>
      <c r="C9" s="5" t="inlineStr">
        <is>
          <t>MANUA</t>
        </is>
      </c>
      <c r="D9" s="23" t="n">
        <v>0</v>
      </c>
      <c r="E9" s="23" t="n">
        <v>0</v>
      </c>
      <c r="F9" s="5" t="n"/>
      <c r="G9" s="5" t="n"/>
      <c r="H9" s="87">
        <f>Tabelle!F106</f>
        <v/>
      </c>
      <c r="I9" s="5" t="n"/>
      <c r="J9" s="32">
        <f>Tabelle!B106</f>
        <v/>
      </c>
      <c r="K9" s="83">
        <f>Tabelle!G82</f>
        <v/>
      </c>
    </row>
    <row r="10">
      <c r="A10" s="4" t="n">
        <v>2024</v>
      </c>
      <c r="B10" s="4" t="n">
        <v>9</v>
      </c>
      <c r="C10" s="5" t="inlineStr">
        <is>
          <t>MANUA</t>
        </is>
      </c>
      <c r="D10" s="23" t="n">
        <v>0</v>
      </c>
      <c r="E10" s="23" t="n">
        <v>1834</v>
      </c>
      <c r="F10" s="5" t="n"/>
      <c r="G10" s="5" t="n"/>
      <c r="H10" s="87">
        <f>Tabelle!F107</f>
        <v/>
      </c>
      <c r="I10" s="5" t="n"/>
      <c r="J10" s="32">
        <f>Tabelle!B107</f>
        <v/>
      </c>
      <c r="K10" s="83">
        <f>Tabelle!G83</f>
        <v/>
      </c>
    </row>
    <row r="11">
      <c r="A11" s="4" t="n">
        <v>2024</v>
      </c>
      <c r="B11" s="4" t="n">
        <v>10</v>
      </c>
      <c r="C11" s="5" t="inlineStr">
        <is>
          <t>MANUA</t>
        </is>
      </c>
      <c r="D11" s="23" t="n">
        <v>0</v>
      </c>
      <c r="E11" s="24" t="n">
        <v>4112</v>
      </c>
      <c r="F11" s="5" t="n"/>
      <c r="G11" s="5" t="n"/>
      <c r="H11" s="87">
        <f>Tabelle!F108</f>
        <v/>
      </c>
      <c r="I11" s="5" t="n"/>
      <c r="J11" s="32">
        <f>Tabelle!B108</f>
        <v/>
      </c>
      <c r="K11" s="83">
        <f>Tabelle!G84</f>
        <v/>
      </c>
    </row>
    <row r="12">
      <c r="A12" s="4" t="n">
        <v>2024</v>
      </c>
      <c r="B12" s="4" t="n">
        <v>11</v>
      </c>
      <c r="C12" s="5" t="inlineStr">
        <is>
          <t>MANUA</t>
        </is>
      </c>
      <c r="D12" s="25" t="n">
        <v>0</v>
      </c>
      <c r="E12" s="23" t="n">
        <v>4350</v>
      </c>
      <c r="F12" s="7" t="n"/>
      <c r="G12" s="5" t="n"/>
      <c r="H12" s="87">
        <f>Tabelle!F109</f>
        <v/>
      </c>
      <c r="I12" s="9">
        <f>F12*H12</f>
        <v/>
      </c>
      <c r="J12" s="32">
        <f>Tabelle!B109</f>
        <v/>
      </c>
      <c r="K12" s="83">
        <f>Tabelle!G85</f>
        <v/>
      </c>
    </row>
    <row r="13">
      <c r="A13" s="4" t="n">
        <v>2024</v>
      </c>
      <c r="B13" s="4" t="n">
        <v>12</v>
      </c>
      <c r="C13" s="5" t="inlineStr">
        <is>
          <t>MANUA</t>
        </is>
      </c>
      <c r="D13" s="25" t="n">
        <v>0</v>
      </c>
      <c r="E13" s="25" t="n">
        <v>31394</v>
      </c>
      <c r="F13" s="7" t="n"/>
      <c r="G13" s="5" t="n"/>
      <c r="H13" s="87">
        <f>Tabelle!F110</f>
        <v/>
      </c>
      <c r="I13" s="9">
        <f>F13*H13</f>
        <v/>
      </c>
      <c r="J13" s="32">
        <f>Tabelle!B110</f>
        <v/>
      </c>
      <c r="K13" s="83">
        <f>Tabelle!G86</f>
        <v/>
      </c>
    </row>
    <row r="14">
      <c r="A14" s="6" t="n">
        <v>2025</v>
      </c>
      <c r="B14" s="6" t="n">
        <v>1</v>
      </c>
      <c r="C14" s="5" t="inlineStr">
        <is>
          <t>MANUA</t>
        </is>
      </c>
      <c r="D14" s="25" t="n"/>
      <c r="E14" s="25" t="n"/>
      <c r="F14" s="7" t="n"/>
      <c r="G14" s="5" t="n"/>
      <c r="H14" s="87">
        <f>Tabelle!F111</f>
        <v/>
      </c>
      <c r="I14" s="9">
        <f>F14*H14</f>
        <v/>
      </c>
      <c r="J14" s="32">
        <f>Tabelle!B111</f>
        <v/>
      </c>
      <c r="K14" s="83">
        <f>Tabelle!G87</f>
        <v/>
      </c>
    </row>
    <row r="15">
      <c r="A15" s="6" t="n">
        <v>2025</v>
      </c>
      <c r="B15" s="6" t="n">
        <v>2</v>
      </c>
      <c r="C15" s="5" t="inlineStr">
        <is>
          <t>MANUA</t>
        </is>
      </c>
      <c r="D15" s="25" t="n"/>
      <c r="E15" s="25" t="n"/>
      <c r="F15" s="7" t="n"/>
      <c r="G15" s="5" t="n"/>
      <c r="H15" s="87">
        <f>Tabelle!F112</f>
        <v/>
      </c>
      <c r="I15" s="9">
        <f>F15*H15</f>
        <v/>
      </c>
      <c r="J15" s="32">
        <f>Tabelle!B112</f>
        <v/>
      </c>
      <c r="K15" s="83">
        <f>Tabelle!G88</f>
        <v/>
      </c>
    </row>
    <row r="16">
      <c r="A16" s="6" t="n">
        <v>2025</v>
      </c>
      <c r="B16" s="6" t="n">
        <v>3</v>
      </c>
      <c r="C16" s="5" t="inlineStr">
        <is>
          <t>MANUA</t>
        </is>
      </c>
      <c r="D16" s="25" t="n"/>
      <c r="E16" s="25" t="n"/>
      <c r="F16" s="7" t="n"/>
      <c r="G16" s="5" t="n"/>
      <c r="H16" s="87">
        <f>Tabelle!F113</f>
        <v/>
      </c>
      <c r="I16" s="9">
        <f>F16*H16</f>
        <v/>
      </c>
      <c r="J16" s="32">
        <f>Tabelle!B113</f>
        <v/>
      </c>
      <c r="K16" s="83">
        <f>Tabelle!G89</f>
        <v/>
      </c>
    </row>
    <row r="17">
      <c r="A17" s="6" t="n">
        <v>2025</v>
      </c>
      <c r="B17" s="6" t="n">
        <v>4</v>
      </c>
      <c r="C17" s="5" t="inlineStr">
        <is>
          <t>MANUA</t>
        </is>
      </c>
      <c r="D17" s="25" t="n"/>
      <c r="E17" s="25" t="n"/>
      <c r="F17" s="7" t="n"/>
      <c r="G17" s="5" t="n"/>
      <c r="H17" s="87">
        <f>Tabelle!F114</f>
        <v/>
      </c>
      <c r="I17" s="9">
        <f>F17*H17</f>
        <v/>
      </c>
      <c r="J17" s="32">
        <f>Tabelle!B114</f>
        <v/>
      </c>
      <c r="K17" s="83">
        <f>Tabelle!G90</f>
        <v/>
      </c>
    </row>
    <row r="18">
      <c r="A18" s="6" t="n">
        <v>2025</v>
      </c>
      <c r="B18" s="6" t="n">
        <v>5</v>
      </c>
      <c r="C18" s="5" t="inlineStr">
        <is>
          <t>MANUA</t>
        </is>
      </c>
      <c r="D18" s="25" t="n"/>
      <c r="E18" s="25" t="n"/>
      <c r="F18" s="7" t="n"/>
      <c r="G18" s="5" t="n"/>
      <c r="H18" s="87">
        <f>Tabelle!F115</f>
        <v/>
      </c>
      <c r="I18" s="9">
        <f>F18*H18</f>
        <v/>
      </c>
      <c r="J18" s="32">
        <f>Tabelle!B115</f>
        <v/>
      </c>
      <c r="K18" s="83">
        <f>Tabelle!G91</f>
        <v/>
      </c>
    </row>
    <row r="19">
      <c r="A19" s="6" t="n">
        <v>2025</v>
      </c>
      <c r="B19" s="6" t="n">
        <v>6</v>
      </c>
      <c r="C19" s="5" t="inlineStr">
        <is>
          <t>MANUA</t>
        </is>
      </c>
      <c r="D19" s="25" t="n"/>
      <c r="E19" s="25" t="n"/>
      <c r="F19" s="7" t="n"/>
      <c r="G19" s="5" t="n"/>
      <c r="H19" s="87">
        <f>Tabelle!F116</f>
        <v/>
      </c>
      <c r="I19" s="9">
        <f>F19*H19</f>
        <v/>
      </c>
      <c r="J19" s="32">
        <f>Tabelle!B116</f>
        <v/>
      </c>
      <c r="K19" s="83">
        <f>Tabelle!G92</f>
        <v/>
      </c>
    </row>
    <row r="20">
      <c r="A20" s="6" t="n">
        <v>2025</v>
      </c>
      <c r="B20" s="6" t="n">
        <v>7</v>
      </c>
      <c r="C20" s="5" t="inlineStr">
        <is>
          <t>MANUA</t>
        </is>
      </c>
      <c r="D20" s="25" t="n"/>
      <c r="E20" s="25" t="n"/>
      <c r="F20" s="7" t="n"/>
      <c r="G20" s="5" t="n"/>
      <c r="H20" s="87">
        <f>Tabelle!F117</f>
        <v/>
      </c>
      <c r="I20" s="9">
        <f>F20*H20</f>
        <v/>
      </c>
      <c r="J20" s="32">
        <f>Tabelle!B117</f>
        <v/>
      </c>
      <c r="K20" s="83">
        <f>Tabelle!G93</f>
        <v/>
      </c>
    </row>
    <row r="21">
      <c r="A21" s="6" t="n">
        <v>2025</v>
      </c>
      <c r="B21" s="6" t="n">
        <v>8</v>
      </c>
      <c r="C21" s="5" t="inlineStr">
        <is>
          <t>MANUA</t>
        </is>
      </c>
      <c r="D21" s="23" t="n">
        <v>0</v>
      </c>
      <c r="E21" s="23" t="n">
        <v>11284</v>
      </c>
      <c r="F21" s="5" t="n"/>
      <c r="G21" s="5" t="n"/>
      <c r="H21" s="87">
        <f>Tabelle!F118</f>
        <v/>
      </c>
      <c r="I21" s="5" t="n"/>
      <c r="J21" s="32">
        <f>Tabelle!B118</f>
        <v/>
      </c>
      <c r="K21" s="83">
        <f>Tabelle!G94</f>
        <v/>
      </c>
    </row>
    <row r="22">
      <c r="A22" s="6" t="n">
        <v>2025</v>
      </c>
      <c r="B22" s="6" t="n">
        <v>9</v>
      </c>
      <c r="C22" s="5" t="inlineStr">
        <is>
          <t>MANUA</t>
        </is>
      </c>
      <c r="D22" s="23" t="n">
        <v>0</v>
      </c>
      <c r="E22" s="23" t="n">
        <v>22523</v>
      </c>
      <c r="F22" s="5" t="n"/>
      <c r="G22" s="5" t="n"/>
      <c r="H22" s="87">
        <f>Tabelle!F119</f>
        <v/>
      </c>
      <c r="I22" s="5" t="n"/>
      <c r="J22" s="32">
        <f>Tabelle!B119</f>
        <v/>
      </c>
      <c r="K22" s="83">
        <f>Tabelle!G97</f>
        <v/>
      </c>
    </row>
    <row r="23">
      <c r="A23" s="6" t="n">
        <v>2025</v>
      </c>
      <c r="B23" s="6" t="n">
        <v>10</v>
      </c>
      <c r="C23" s="5" t="inlineStr">
        <is>
          <t>MANUA</t>
        </is>
      </c>
      <c r="D23" s="23" t="n">
        <v>0</v>
      </c>
      <c r="E23" s="23" t="n">
        <v>10000</v>
      </c>
      <c r="F23" s="5" t="n"/>
      <c r="G23" s="5" t="n"/>
      <c r="H23" s="87">
        <f>Tabelle!F120</f>
        <v/>
      </c>
      <c r="I23" s="5" t="n"/>
      <c r="J23" s="32">
        <f>Tabelle!B120</f>
        <v/>
      </c>
      <c r="K23" s="83">
        <f>Tabelle!G98</f>
        <v/>
      </c>
    </row>
    <row r="24">
      <c r="A24" s="6" t="n">
        <v>2025</v>
      </c>
      <c r="B24" s="6" t="n">
        <v>11</v>
      </c>
      <c r="C24" s="5" t="inlineStr">
        <is>
          <t>MANUA</t>
        </is>
      </c>
      <c r="D24" s="23" t="n"/>
      <c r="E24" s="23" t="n"/>
      <c r="F24" s="5" t="n"/>
      <c r="G24" s="5" t="n"/>
      <c r="H24" s="87">
        <f>Tabelle!F121</f>
        <v/>
      </c>
      <c r="I24" s="5" t="n"/>
      <c r="J24" s="32">
        <f>Tabelle!B121</f>
        <v/>
      </c>
      <c r="K24" s="83">
        <f>Tabelle!G99</f>
        <v/>
      </c>
    </row>
    <row r="25">
      <c r="A25" s="6" t="n">
        <v>2025</v>
      </c>
      <c r="B25" s="6" t="n">
        <v>12</v>
      </c>
      <c r="C25" s="5" t="inlineStr">
        <is>
          <t>MANUA</t>
        </is>
      </c>
      <c r="D25" s="23" t="n"/>
      <c r="E25" s="23" t="n"/>
      <c r="F25" s="5" t="n"/>
      <c r="G25" s="5" t="n"/>
      <c r="H25" s="87">
        <f>Tabelle!F122</f>
        <v/>
      </c>
      <c r="I25" s="5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 codeName="Foglio18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MG5</t>
        </is>
      </c>
      <c r="D2" s="32" t="n">
        <v>44.22</v>
      </c>
      <c r="E2" s="32" t="n">
        <v>15977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MG5</t>
        </is>
      </c>
      <c r="D3" s="32" t="n">
        <v>237.45</v>
      </c>
      <c r="E3" s="32" t="n">
        <v>80655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MG5</t>
        </is>
      </c>
      <c r="D4" s="32" t="n">
        <v>230.27</v>
      </c>
      <c r="E4" s="32" t="n">
        <v>84827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MG5</t>
        </is>
      </c>
      <c r="D5" s="32" t="n">
        <v>190.51</v>
      </c>
      <c r="E5" s="32" t="n">
        <v>47809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MG5</t>
        </is>
      </c>
      <c r="D6" s="32" t="n">
        <v>100.88</v>
      </c>
      <c r="E6" s="32" t="n">
        <v>37786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MG5</t>
        </is>
      </c>
      <c r="D7" s="32" t="n">
        <v>76.43000000000001</v>
      </c>
      <c r="E7" s="32" t="n">
        <v>29749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MG5</t>
        </is>
      </c>
      <c r="D8" s="32" t="n">
        <v>4.85</v>
      </c>
      <c r="E8" s="32" t="n">
        <v>1657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MG5</t>
        </is>
      </c>
      <c r="D9" s="32" t="n">
        <v>43.96</v>
      </c>
      <c r="E9" s="32" t="n">
        <v>15795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MG5</t>
        </is>
      </c>
      <c r="D10" s="32" t="n">
        <v>193.27</v>
      </c>
      <c r="E10" s="32" t="n">
        <v>93880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MG5</t>
        </is>
      </c>
      <c r="D11" s="32" t="n">
        <v>77.08</v>
      </c>
      <c r="E11" s="33" t="n">
        <v>36904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MG5</t>
        </is>
      </c>
      <c r="D12" s="7">
        <f>Tabelle!P18</f>
        <v/>
      </c>
      <c r="E12" s="32">
        <f>Tabelle!P32</f>
        <v/>
      </c>
      <c r="F12" s="7">
        <f>Tabelle!P4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MG5</t>
        </is>
      </c>
      <c r="D13" s="7">
        <f>Tabelle!P19</f>
        <v/>
      </c>
      <c r="E13" s="32">
        <f>Tabelle!P33</f>
        <v/>
      </c>
      <c r="F13" s="7">
        <f>Tabelle!P5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MG5</t>
        </is>
      </c>
      <c r="D14" s="7">
        <f>Tabelle!P20</f>
        <v/>
      </c>
      <c r="E14" s="32">
        <f>Tabelle!P34</f>
        <v/>
      </c>
      <c r="F14" s="7">
        <f>Tabelle!P6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MG5</t>
        </is>
      </c>
      <c r="D15" s="7">
        <f>Tabelle!P21</f>
        <v/>
      </c>
      <c r="E15" s="32">
        <f>Tabelle!P35</f>
        <v/>
      </c>
      <c r="F15" s="7">
        <f>Tabelle!P7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MG5</t>
        </is>
      </c>
      <c r="D16" s="7">
        <f>Tabelle!P22</f>
        <v/>
      </c>
      <c r="E16" s="32">
        <f>Tabelle!P36</f>
        <v/>
      </c>
      <c r="F16" s="7">
        <f>Tabelle!P8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MG5</t>
        </is>
      </c>
      <c r="D17" s="7">
        <f>Tabelle!P23</f>
        <v/>
      </c>
      <c r="E17" s="32">
        <f>Tabelle!P37</f>
        <v/>
      </c>
      <c r="F17" s="7">
        <f>Tabelle!P9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MG5</t>
        </is>
      </c>
      <c r="D18" s="7">
        <f>Tabelle!P24</f>
        <v/>
      </c>
      <c r="E18" s="32">
        <f>Tabelle!P38</f>
        <v/>
      </c>
      <c r="F18" s="7">
        <f>Tabelle!P10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MG5</t>
        </is>
      </c>
      <c r="D19" s="7">
        <f>Tabelle!P25</f>
        <v/>
      </c>
      <c r="E19" s="32">
        <f>Tabelle!P39</f>
        <v/>
      </c>
      <c r="F19" s="7">
        <f>Tabelle!P11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MG5</t>
        </is>
      </c>
      <c r="D20" s="7">
        <f>Tabelle!P26</f>
        <v/>
      </c>
      <c r="E20" s="32">
        <f>Tabelle!P40</f>
        <v/>
      </c>
      <c r="F20" s="7">
        <f>Tabelle!P12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MG5</t>
        </is>
      </c>
      <c r="D21" s="7">
        <f>Tabelle!P27</f>
        <v/>
      </c>
      <c r="E21" s="32">
        <f>Tabelle!P41</f>
        <v/>
      </c>
      <c r="F21" s="7">
        <f>Tabelle!P13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MG5</t>
        </is>
      </c>
      <c r="D22" s="7">
        <f>Tabelle!P28</f>
        <v/>
      </c>
      <c r="E22" s="32">
        <f>Tabelle!P42</f>
        <v/>
      </c>
      <c r="F22" s="7">
        <f>Tabelle!P14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MG5</t>
        </is>
      </c>
      <c r="D23" s="7">
        <f>Tabelle!P29</f>
        <v/>
      </c>
      <c r="E23" s="32">
        <f>Tabelle!P43</f>
        <v/>
      </c>
      <c r="F23" s="7">
        <f>Tabelle!P15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MG5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MG5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 codeName="Foglio19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9.140625" customWidth="1" style="42" min="1" max="2"/>
    <col width="19.5703125" bestFit="1" customWidth="1" style="42" min="3" max="3"/>
    <col width="23.7109375" bestFit="1" customWidth="1" style="42" min="4" max="4"/>
    <col width="13.42578125" bestFit="1" customWidth="1" style="42" min="5" max="5"/>
    <col width="9.140625" customWidth="1" style="42" min="6" max="7"/>
    <col width="12.85546875" bestFit="1" customWidth="1" style="42" min="8" max="8"/>
    <col width="14.5703125" bestFit="1" customWidth="1" style="42" min="9" max="9"/>
    <col width="21.28515625" customWidth="1" style="42" min="10" max="10"/>
    <col width="24.140625" customWidth="1" style="42" min="11" max="11"/>
    <col width="9.140625" customWidth="1" style="42" min="12" max="19"/>
    <col width="9.140625" customWidth="1" style="42" min="20" max="16384"/>
  </cols>
  <sheetData>
    <row r="1">
      <c r="A1" s="39" t="inlineStr">
        <is>
          <t xml:space="preserve">anno </t>
        </is>
      </c>
      <c r="B1" s="39" t="inlineStr">
        <is>
          <t xml:space="preserve">mese </t>
        </is>
      </c>
      <c r="C1" s="39" t="inlineStr">
        <is>
          <t>macchina o impianto</t>
        </is>
      </c>
      <c r="D1" s="40" t="inlineStr">
        <is>
          <t>ore produzione macchina</t>
        </is>
      </c>
      <c r="E1" s="40" t="inlineStr">
        <is>
          <t>pezzi prodotti</t>
        </is>
      </c>
      <c r="F1" s="40" t="inlineStr">
        <is>
          <t xml:space="preserve">consumo </t>
        </is>
      </c>
      <c r="G1" s="40" t="inlineStr">
        <is>
          <t xml:space="preserve">lettura </t>
        </is>
      </c>
      <c r="H1" s="40" t="inlineStr">
        <is>
          <t>costo energia</t>
        </is>
      </c>
      <c r="I1" s="40" t="inlineStr">
        <is>
          <t>costo macchina</t>
        </is>
      </c>
      <c r="J1" s="41" t="inlineStr">
        <is>
          <t>consumo da bolletta</t>
        </is>
      </c>
      <c r="K1" s="41" t="inlineStr">
        <is>
          <t>totale bolletta</t>
        </is>
      </c>
    </row>
    <row r="2">
      <c r="A2" s="43" t="n">
        <v>2024</v>
      </c>
      <c r="B2" s="43" t="n">
        <v>1</v>
      </c>
      <c r="C2" s="32" t="inlineStr">
        <is>
          <t>MG6</t>
        </is>
      </c>
      <c r="D2" s="32" t="n">
        <v>32.47</v>
      </c>
      <c r="E2" s="32" t="n">
        <v>11214</v>
      </c>
      <c r="F2" s="32" t="n"/>
      <c r="G2" s="32" t="n"/>
      <c r="H2" s="88">
        <f>Tabelle!F99</f>
        <v/>
      </c>
      <c r="I2" s="32" t="n"/>
      <c r="J2" s="32">
        <f>Tabelle!B99</f>
        <v/>
      </c>
      <c r="K2" s="83">
        <f>Tabelle!G75</f>
        <v/>
      </c>
    </row>
    <row r="3">
      <c r="A3" s="43" t="n">
        <v>2024</v>
      </c>
      <c r="B3" s="43" t="n">
        <v>2</v>
      </c>
      <c r="C3" s="32" t="inlineStr">
        <is>
          <t>MG6</t>
        </is>
      </c>
      <c r="D3" s="32" t="n">
        <v>89.87</v>
      </c>
      <c r="E3" s="32" t="n">
        <v>35840</v>
      </c>
      <c r="F3" s="32" t="n"/>
      <c r="G3" s="32" t="n"/>
      <c r="H3" s="88">
        <f>Tabelle!F100</f>
        <v/>
      </c>
      <c r="I3" s="32" t="n"/>
      <c r="J3" s="32">
        <f>Tabelle!B100</f>
        <v/>
      </c>
      <c r="K3" s="83">
        <f>Tabelle!G76</f>
        <v/>
      </c>
    </row>
    <row r="4">
      <c r="A4" s="43" t="n">
        <v>2024</v>
      </c>
      <c r="B4" s="43" t="n">
        <v>3</v>
      </c>
      <c r="C4" s="32" t="inlineStr">
        <is>
          <t>MG6</t>
        </is>
      </c>
      <c r="D4" s="32" t="n">
        <v>8.01</v>
      </c>
      <c r="E4" s="32" t="n">
        <v>5376</v>
      </c>
      <c r="F4" s="32" t="n"/>
      <c r="G4" s="32" t="n"/>
      <c r="H4" s="88">
        <f>Tabelle!F101</f>
        <v/>
      </c>
      <c r="I4" s="32" t="n"/>
      <c r="J4" s="32">
        <f>Tabelle!B101</f>
        <v/>
      </c>
      <c r="K4" s="83">
        <f>Tabelle!G77</f>
        <v/>
      </c>
    </row>
    <row r="5">
      <c r="A5" s="43" t="n">
        <v>2024</v>
      </c>
      <c r="B5" s="43" t="n">
        <v>4</v>
      </c>
      <c r="C5" s="32" t="inlineStr">
        <is>
          <t>MG6</t>
        </is>
      </c>
      <c r="D5" s="32" t="n">
        <v>60.16</v>
      </c>
      <c r="E5" s="32" t="n">
        <v>20237</v>
      </c>
      <c r="F5" s="32" t="n"/>
      <c r="G5" s="32" t="n"/>
      <c r="H5" s="88">
        <f>Tabelle!F102</f>
        <v/>
      </c>
      <c r="I5" s="32" t="n"/>
      <c r="J5" s="32">
        <f>Tabelle!B102</f>
        <v/>
      </c>
      <c r="K5" s="83">
        <f>Tabelle!G78</f>
        <v/>
      </c>
    </row>
    <row r="6">
      <c r="A6" s="43" t="n">
        <v>2024</v>
      </c>
      <c r="B6" s="43" t="n">
        <v>5</v>
      </c>
      <c r="C6" s="32" t="inlineStr">
        <is>
          <t>MG6</t>
        </is>
      </c>
      <c r="D6" s="32" t="n">
        <v>32.22</v>
      </c>
      <c r="E6" s="32" t="n">
        <v>12170</v>
      </c>
      <c r="F6" s="32" t="n"/>
      <c r="G6" s="32" t="n"/>
      <c r="H6" s="88">
        <f>Tabelle!F103</f>
        <v/>
      </c>
      <c r="I6" s="32" t="n"/>
      <c r="J6" s="32">
        <f>Tabelle!B103</f>
        <v/>
      </c>
      <c r="K6" s="83">
        <f>Tabelle!G79</f>
        <v/>
      </c>
    </row>
    <row r="7">
      <c r="A7" s="43" t="n">
        <v>2024</v>
      </c>
      <c r="B7" s="43" t="n">
        <v>6</v>
      </c>
      <c r="C7" s="32" t="inlineStr">
        <is>
          <t>MG6</t>
        </is>
      </c>
      <c r="D7" s="32" t="n">
        <v>27.62</v>
      </c>
      <c r="E7" s="32" t="n">
        <v>11200</v>
      </c>
      <c r="F7" s="32" t="n"/>
      <c r="G7" s="32" t="n"/>
      <c r="H7" s="88">
        <f>Tabelle!F104</f>
        <v/>
      </c>
      <c r="I7" s="32" t="n"/>
      <c r="J7" s="32">
        <f>Tabelle!B104</f>
        <v/>
      </c>
      <c r="K7" s="83">
        <f>Tabelle!G80</f>
        <v/>
      </c>
    </row>
    <row r="8">
      <c r="A8" s="43" t="n">
        <v>2024</v>
      </c>
      <c r="B8" s="43" t="n">
        <v>7</v>
      </c>
      <c r="C8" s="32" t="inlineStr">
        <is>
          <t>MG6</t>
        </is>
      </c>
      <c r="D8" s="32" t="n">
        <v>201.4</v>
      </c>
      <c r="E8" s="32" t="n">
        <v>81760</v>
      </c>
      <c r="F8" s="32" t="n"/>
      <c r="G8" s="32" t="n"/>
      <c r="H8" s="88">
        <f>Tabelle!F105</f>
        <v/>
      </c>
      <c r="I8" s="32" t="n"/>
      <c r="J8" s="32">
        <f>Tabelle!B105</f>
        <v/>
      </c>
      <c r="K8" s="83">
        <f>Tabelle!G81</f>
        <v/>
      </c>
    </row>
    <row r="9">
      <c r="A9" s="43" t="n">
        <v>2024</v>
      </c>
      <c r="B9" s="43" t="n">
        <v>8</v>
      </c>
      <c r="C9" s="32" t="inlineStr">
        <is>
          <t>MG6</t>
        </is>
      </c>
      <c r="D9" s="32" t="n">
        <v>149.7</v>
      </c>
      <c r="E9" s="32" t="n">
        <v>9756</v>
      </c>
      <c r="F9" s="32" t="n"/>
      <c r="G9" s="32" t="n"/>
      <c r="H9" s="88">
        <f>Tabelle!F106</f>
        <v/>
      </c>
      <c r="I9" s="32" t="n"/>
      <c r="J9" s="32">
        <f>Tabelle!B106</f>
        <v/>
      </c>
      <c r="K9" s="83">
        <f>Tabelle!G82</f>
        <v/>
      </c>
    </row>
    <row r="10">
      <c r="A10" s="43" t="n">
        <v>2024</v>
      </c>
      <c r="B10" s="43" t="n">
        <v>9</v>
      </c>
      <c r="C10" s="32" t="inlineStr">
        <is>
          <t>MG6</t>
        </is>
      </c>
      <c r="D10" s="32" t="n">
        <v>39.27</v>
      </c>
      <c r="E10" s="32" t="n">
        <v>10745</v>
      </c>
      <c r="F10" s="32" t="n"/>
      <c r="G10" s="32" t="n"/>
      <c r="H10" s="88">
        <f>Tabelle!F107</f>
        <v/>
      </c>
      <c r="I10" s="32" t="n"/>
      <c r="J10" s="32">
        <f>Tabelle!B107</f>
        <v/>
      </c>
      <c r="K10" s="83">
        <f>Tabelle!G83</f>
        <v/>
      </c>
    </row>
    <row r="11">
      <c r="A11" s="43" t="n">
        <v>2024</v>
      </c>
      <c r="B11" s="43" t="n">
        <v>10</v>
      </c>
      <c r="C11" s="32" t="inlineStr">
        <is>
          <t>MG6</t>
        </is>
      </c>
      <c r="D11" s="32" t="n">
        <v>105.75</v>
      </c>
      <c r="E11" s="33" t="n">
        <v>31310</v>
      </c>
      <c r="F11" s="32" t="n"/>
      <c r="G11" s="32" t="n"/>
      <c r="H11" s="88">
        <f>Tabelle!F108</f>
        <v/>
      </c>
      <c r="I11" s="32" t="n"/>
      <c r="J11" s="32">
        <f>Tabelle!B108</f>
        <v/>
      </c>
      <c r="K11" s="83">
        <f>Tabelle!G84</f>
        <v/>
      </c>
    </row>
    <row r="12">
      <c r="A12" s="43" t="n">
        <v>2024</v>
      </c>
      <c r="B12" s="43" t="n">
        <v>11</v>
      </c>
      <c r="C12" s="32" t="inlineStr">
        <is>
          <t>MG6</t>
        </is>
      </c>
      <c r="D12" s="25">
        <f>Tabelle!Q18</f>
        <v/>
      </c>
      <c r="E12" s="32">
        <f>Tabelle!Q32</f>
        <v/>
      </c>
      <c r="F12" s="25">
        <f>Tabelle!Q4</f>
        <v/>
      </c>
      <c r="G12" s="32" t="n"/>
      <c r="H12" s="88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43" t="n">
        <v>2024</v>
      </c>
      <c r="B13" s="43" t="n">
        <v>12</v>
      </c>
      <c r="C13" s="32" t="inlineStr">
        <is>
          <t>MG6</t>
        </is>
      </c>
      <c r="D13" s="25">
        <f>Tabelle!Q19</f>
        <v/>
      </c>
      <c r="E13" s="32">
        <f>Tabelle!Q33</f>
        <v/>
      </c>
      <c r="F13" s="25">
        <f>Tabelle!Q5</f>
        <v/>
      </c>
      <c r="G13" s="32" t="n"/>
      <c r="H13" s="88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44" t="n">
        <v>2025</v>
      </c>
      <c r="B14" s="44" t="n">
        <v>1</v>
      </c>
      <c r="C14" s="32" t="inlineStr">
        <is>
          <t>MG6</t>
        </is>
      </c>
      <c r="D14" s="25">
        <f>Tabelle!Q20</f>
        <v/>
      </c>
      <c r="E14" s="32">
        <f>Tabelle!Q34</f>
        <v/>
      </c>
      <c r="F14" s="25">
        <f>Tabelle!Q6</f>
        <v/>
      </c>
      <c r="G14" s="32" t="n"/>
      <c r="H14" s="88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44" t="n">
        <v>2025</v>
      </c>
      <c r="B15" s="44" t="n">
        <v>2</v>
      </c>
      <c r="C15" s="32" t="inlineStr">
        <is>
          <t>MG6</t>
        </is>
      </c>
      <c r="D15" s="25">
        <f>Tabelle!Q21</f>
        <v/>
      </c>
      <c r="E15" s="32">
        <f>Tabelle!Q35</f>
        <v/>
      </c>
      <c r="F15" s="25">
        <f>Tabelle!Q7</f>
        <v/>
      </c>
      <c r="G15" s="32" t="n"/>
      <c r="H15" s="88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44" t="n">
        <v>2025</v>
      </c>
      <c r="B16" s="44" t="n">
        <v>3</v>
      </c>
      <c r="C16" s="32" t="inlineStr">
        <is>
          <t>MG6</t>
        </is>
      </c>
      <c r="D16" s="25">
        <f>Tabelle!Q22</f>
        <v/>
      </c>
      <c r="E16" s="32">
        <f>Tabelle!Q36</f>
        <v/>
      </c>
      <c r="F16" s="25">
        <f>Tabelle!Q8</f>
        <v/>
      </c>
      <c r="G16" s="32" t="n"/>
      <c r="H16" s="88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44" t="n">
        <v>2025</v>
      </c>
      <c r="B17" s="44" t="n">
        <v>4</v>
      </c>
      <c r="C17" s="32" t="inlineStr">
        <is>
          <t>MG6</t>
        </is>
      </c>
      <c r="D17" s="25">
        <f>Tabelle!Q23</f>
        <v/>
      </c>
      <c r="E17" s="32">
        <f>Tabelle!Q37</f>
        <v/>
      </c>
      <c r="F17" s="25">
        <f>Tabelle!Q9</f>
        <v/>
      </c>
      <c r="G17" s="32" t="n"/>
      <c r="H17" s="88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44" t="n">
        <v>2025</v>
      </c>
      <c r="B18" s="44" t="n">
        <v>5</v>
      </c>
      <c r="C18" s="32" t="inlineStr">
        <is>
          <t>MG6</t>
        </is>
      </c>
      <c r="D18" s="25">
        <f>Tabelle!Q24</f>
        <v/>
      </c>
      <c r="E18" s="32">
        <f>Tabelle!Q38</f>
        <v/>
      </c>
      <c r="F18" s="25">
        <f>Tabelle!Q10</f>
        <v/>
      </c>
      <c r="G18" s="32" t="n"/>
      <c r="H18" s="88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44" t="n">
        <v>2025</v>
      </c>
      <c r="B19" s="44" t="n">
        <v>6</v>
      </c>
      <c r="C19" s="32" t="inlineStr">
        <is>
          <t>MG6</t>
        </is>
      </c>
      <c r="D19" s="25">
        <f>Tabelle!Q25</f>
        <v/>
      </c>
      <c r="E19" s="32">
        <f>Tabelle!Q39</f>
        <v/>
      </c>
      <c r="F19" s="25">
        <f>Tabelle!Q11</f>
        <v/>
      </c>
      <c r="G19" s="32" t="n"/>
      <c r="H19" s="88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44" t="n">
        <v>2025</v>
      </c>
      <c r="B20" s="44" t="n">
        <v>7</v>
      </c>
      <c r="C20" s="32" t="inlineStr">
        <is>
          <t>MG6</t>
        </is>
      </c>
      <c r="D20" s="25">
        <f>Tabelle!Q26</f>
        <v/>
      </c>
      <c r="E20" s="32">
        <f>Tabelle!Q40</f>
        <v/>
      </c>
      <c r="F20" s="25">
        <f>Tabelle!Q12</f>
        <v/>
      </c>
      <c r="G20" s="32" t="n"/>
      <c r="H20" s="88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44" t="n">
        <v>2025</v>
      </c>
      <c r="B21" s="44" t="n">
        <v>8</v>
      </c>
      <c r="C21" s="32" t="inlineStr">
        <is>
          <t>MG6</t>
        </is>
      </c>
      <c r="D21" s="25">
        <f>Tabelle!Q27</f>
        <v/>
      </c>
      <c r="E21" s="32">
        <f>Tabelle!Q41</f>
        <v/>
      </c>
      <c r="F21" s="25">
        <f>Tabelle!Q13</f>
        <v/>
      </c>
      <c r="G21" s="32" t="n"/>
      <c r="H21" s="88">
        <f>Tabelle!F118</f>
        <v/>
      </c>
      <c r="I21" s="32" t="n"/>
      <c r="J21" s="32">
        <f>Tabelle!B118</f>
        <v/>
      </c>
      <c r="K21" s="83">
        <f>Tabelle!G94</f>
        <v/>
      </c>
    </row>
    <row r="22">
      <c r="A22" s="44" t="n">
        <v>2025</v>
      </c>
      <c r="B22" s="44" t="n">
        <v>9</v>
      </c>
      <c r="C22" s="32" t="inlineStr">
        <is>
          <t>MG6</t>
        </is>
      </c>
      <c r="D22" s="25">
        <f>Tabelle!Q28</f>
        <v/>
      </c>
      <c r="E22" s="32">
        <f>Tabelle!Q42</f>
        <v/>
      </c>
      <c r="F22" s="25">
        <f>Tabelle!Q14</f>
        <v/>
      </c>
      <c r="G22" s="32" t="n"/>
      <c r="H22" s="88">
        <f>Tabelle!F119</f>
        <v/>
      </c>
      <c r="I22" s="32" t="n"/>
      <c r="J22" s="32">
        <f>Tabelle!B119</f>
        <v/>
      </c>
      <c r="K22" s="83">
        <f>Tabelle!G95</f>
        <v/>
      </c>
    </row>
    <row r="23">
      <c r="A23" s="44" t="n">
        <v>2025</v>
      </c>
      <c r="B23" s="44" t="n">
        <v>10</v>
      </c>
      <c r="C23" s="32" t="inlineStr">
        <is>
          <t>MG6</t>
        </is>
      </c>
      <c r="D23" s="25">
        <f>Tabelle!Q29</f>
        <v/>
      </c>
      <c r="E23" s="32">
        <f>Tabelle!Q43</f>
        <v/>
      </c>
      <c r="F23" s="25">
        <f>Tabelle!Q15</f>
        <v/>
      </c>
      <c r="G23" s="32" t="n"/>
      <c r="H23" s="88">
        <f>Tabelle!F120</f>
        <v/>
      </c>
      <c r="I23" s="32" t="n"/>
      <c r="J23" s="32">
        <f>Tabelle!B120</f>
        <v/>
      </c>
      <c r="K23" s="83">
        <f>Tabelle!G96</f>
        <v/>
      </c>
    </row>
    <row r="24">
      <c r="A24" s="44" t="n">
        <v>2025</v>
      </c>
      <c r="B24" s="44" t="n">
        <v>11</v>
      </c>
      <c r="C24" s="32" t="inlineStr">
        <is>
          <t>MG6</t>
        </is>
      </c>
      <c r="D24" s="32" t="n"/>
      <c r="E24" s="32" t="n"/>
      <c r="F24" s="32" t="n"/>
      <c r="G24" s="32" t="n"/>
      <c r="H24" s="88">
        <f>Tabelle!F121</f>
        <v/>
      </c>
      <c r="I24" s="32" t="n"/>
      <c r="J24" s="32">
        <f>Tabelle!B121</f>
        <v/>
      </c>
      <c r="K24" s="83">
        <f>Tabelle!G99</f>
        <v/>
      </c>
    </row>
    <row r="25">
      <c r="A25" s="44" t="n">
        <v>2025</v>
      </c>
      <c r="B25" s="44" t="n">
        <v>12</v>
      </c>
      <c r="C25" s="32" t="inlineStr">
        <is>
          <t>MG6</t>
        </is>
      </c>
      <c r="D25" s="32" t="n"/>
      <c r="E25" s="32" t="n"/>
      <c r="F25" s="32" t="n"/>
      <c r="G25" s="32" t="n"/>
      <c r="H25" s="88">
        <f>Tabelle!F122</f>
        <v/>
      </c>
      <c r="I25" s="32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 codeName="Foglio20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MG7</t>
        </is>
      </c>
      <c r="D2" s="32" t="n">
        <v>0</v>
      </c>
      <c r="E2" s="32" t="n">
        <v>0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MG7</t>
        </is>
      </c>
      <c r="D3" s="32" t="n">
        <v>107.8</v>
      </c>
      <c r="E3" s="32" t="n">
        <v>35872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MG7</t>
        </is>
      </c>
      <c r="D4" s="32" t="n">
        <v>0</v>
      </c>
      <c r="E4" s="32" t="n">
        <v>1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MG7</t>
        </is>
      </c>
      <c r="D5" s="32" t="n">
        <v>47.6</v>
      </c>
      <c r="E5" s="32" t="n">
        <v>10590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MG7</t>
        </is>
      </c>
      <c r="D6" s="32" t="n">
        <v>122.14</v>
      </c>
      <c r="E6" s="32" t="n">
        <v>43830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MG7</t>
        </is>
      </c>
      <c r="D7" s="32" t="n">
        <v>37.02</v>
      </c>
      <c r="E7" s="32" t="n">
        <v>11150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MG7</t>
        </is>
      </c>
      <c r="D8" s="32" t="n">
        <v>30.45</v>
      </c>
      <c r="E8" s="32" t="n">
        <v>10071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MG7</t>
        </is>
      </c>
      <c r="D9" s="32" t="n">
        <v>39.08</v>
      </c>
      <c r="E9" s="32" t="n">
        <v>14982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MG7</t>
        </is>
      </c>
      <c r="D10" s="32" t="n">
        <v>30.35</v>
      </c>
      <c r="E10" s="32" t="n">
        <v>11340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MG7</t>
        </is>
      </c>
      <c r="D11" s="32" t="n">
        <v>108.29</v>
      </c>
      <c r="E11" s="33" t="n">
        <v>53551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MG7</t>
        </is>
      </c>
      <c r="D12" s="25">
        <f>Tabelle!R18</f>
        <v/>
      </c>
      <c r="E12" s="32">
        <f>Tabelle!R32</f>
        <v/>
      </c>
      <c r="F12" s="7">
        <f>Tabelle!R4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MG7</t>
        </is>
      </c>
      <c r="D13" s="25">
        <f>Tabelle!R19</f>
        <v/>
      </c>
      <c r="E13" s="32">
        <f>Tabelle!R33</f>
        <v/>
      </c>
      <c r="F13" s="7">
        <f>Tabelle!R5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MG7</t>
        </is>
      </c>
      <c r="D14" s="25">
        <f>Tabelle!R20</f>
        <v/>
      </c>
      <c r="E14" s="32">
        <f>Tabelle!R34</f>
        <v/>
      </c>
      <c r="F14" s="7">
        <f>Tabelle!R6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MG7</t>
        </is>
      </c>
      <c r="D15" s="25">
        <f>Tabelle!R21</f>
        <v/>
      </c>
      <c r="E15" s="32">
        <f>Tabelle!R35</f>
        <v/>
      </c>
      <c r="F15" s="7">
        <f>Tabelle!R7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MG7</t>
        </is>
      </c>
      <c r="D16" s="25">
        <f>Tabelle!R22</f>
        <v/>
      </c>
      <c r="E16" s="32">
        <f>Tabelle!R36</f>
        <v/>
      </c>
      <c r="F16" s="7">
        <f>Tabelle!R8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MG7</t>
        </is>
      </c>
      <c r="D17" s="25">
        <f>Tabelle!R23</f>
        <v/>
      </c>
      <c r="E17" s="32">
        <f>Tabelle!R37</f>
        <v/>
      </c>
      <c r="F17" s="7">
        <f>Tabelle!R9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MG7</t>
        </is>
      </c>
      <c r="D18" s="25">
        <f>Tabelle!R24</f>
        <v/>
      </c>
      <c r="E18" s="32">
        <f>Tabelle!R38</f>
        <v/>
      </c>
      <c r="F18" s="7">
        <f>Tabelle!R10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MG7</t>
        </is>
      </c>
      <c r="D19" s="25">
        <f>Tabelle!R25</f>
        <v/>
      </c>
      <c r="E19" s="32">
        <f>Tabelle!R39</f>
        <v/>
      </c>
      <c r="F19" s="7">
        <f>Tabelle!R11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MG7</t>
        </is>
      </c>
      <c r="D20" s="25">
        <f>Tabelle!R26</f>
        <v/>
      </c>
      <c r="E20" s="32">
        <f>Tabelle!R40</f>
        <v/>
      </c>
      <c r="F20" s="7">
        <f>Tabelle!R12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MG7</t>
        </is>
      </c>
      <c r="D21" s="25">
        <f>Tabelle!R27</f>
        <v/>
      </c>
      <c r="E21" s="32">
        <f>Tabelle!R41</f>
        <v/>
      </c>
      <c r="F21" s="7">
        <f>Tabelle!R13</f>
        <v/>
      </c>
      <c r="G21" s="31" t="n"/>
      <c r="H21" s="86">
        <f>Tabelle!F118</f>
        <v/>
      </c>
      <c r="I21" s="31" t="n"/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MG7</t>
        </is>
      </c>
      <c r="D22" s="25">
        <f>Tabelle!R28</f>
        <v/>
      </c>
      <c r="E22" s="32">
        <f>Tabelle!R42</f>
        <v/>
      </c>
      <c r="F22" s="7">
        <f>Tabelle!R14</f>
        <v/>
      </c>
      <c r="G22" s="31" t="n"/>
      <c r="H22" s="86">
        <f>Tabelle!F119</f>
        <v/>
      </c>
      <c r="I22" s="31" t="n"/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MG7</t>
        </is>
      </c>
      <c r="D23" s="25">
        <f>Tabelle!R29</f>
        <v/>
      </c>
      <c r="E23" s="32">
        <f>Tabelle!R43</f>
        <v/>
      </c>
      <c r="F23" s="7">
        <f>Tabelle!R15</f>
        <v/>
      </c>
      <c r="G23" s="31" t="n"/>
      <c r="H23" s="86">
        <f>Tabelle!F120</f>
        <v/>
      </c>
      <c r="I23" s="31" t="n"/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MG7</t>
        </is>
      </c>
      <c r="D24" s="32" t="n"/>
      <c r="E24" s="32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MG7</t>
        </is>
      </c>
      <c r="D25" s="32" t="n"/>
      <c r="E25" s="32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glio21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9.140625" customWidth="1" style="42" min="1" max="2"/>
    <col width="19.5703125" bestFit="1" customWidth="1" style="42" min="3" max="3"/>
    <col width="23.7109375" bestFit="1" customWidth="1" style="42" min="4" max="4"/>
    <col width="13.42578125" bestFit="1" customWidth="1" style="42" min="5" max="5"/>
    <col width="9.140625" customWidth="1" style="42" min="6" max="7"/>
    <col width="12.85546875" bestFit="1" customWidth="1" style="42" min="8" max="8"/>
    <col width="14.5703125" bestFit="1" customWidth="1" style="42" min="9" max="9"/>
    <col width="21.28515625" customWidth="1" style="42" min="10" max="10"/>
    <col width="24.140625" customWidth="1" style="42" min="11" max="11"/>
    <col width="9.140625" customWidth="1" style="42" min="12" max="19"/>
    <col width="9.140625" customWidth="1" style="42" min="20" max="16384"/>
  </cols>
  <sheetData>
    <row r="1">
      <c r="A1" s="39" t="inlineStr">
        <is>
          <t xml:space="preserve">anno </t>
        </is>
      </c>
      <c r="B1" s="39" t="inlineStr">
        <is>
          <t xml:space="preserve">mese </t>
        </is>
      </c>
      <c r="C1" s="39" t="inlineStr">
        <is>
          <t>macchina o impianto</t>
        </is>
      </c>
      <c r="D1" s="40" t="inlineStr">
        <is>
          <t>ore produzione macchina</t>
        </is>
      </c>
      <c r="E1" s="40" t="inlineStr">
        <is>
          <t>pezzi prodotti</t>
        </is>
      </c>
      <c r="F1" s="40" t="inlineStr">
        <is>
          <t xml:space="preserve">consumo </t>
        </is>
      </c>
      <c r="G1" s="40" t="inlineStr">
        <is>
          <t xml:space="preserve">lettura </t>
        </is>
      </c>
      <c r="H1" s="40" t="inlineStr">
        <is>
          <t>costo energia</t>
        </is>
      </c>
      <c r="I1" s="40" t="inlineStr">
        <is>
          <t>costo macchina</t>
        </is>
      </c>
      <c r="J1" s="41" t="inlineStr">
        <is>
          <t>consumo da bolletta</t>
        </is>
      </c>
      <c r="K1" s="41" t="inlineStr">
        <is>
          <t>totale bolletta</t>
        </is>
      </c>
    </row>
    <row r="2">
      <c r="A2" s="43" t="n">
        <v>2024</v>
      </c>
      <c r="B2" s="43" t="n">
        <v>1</v>
      </c>
      <c r="C2" s="32" t="inlineStr">
        <is>
          <t>MG8</t>
        </is>
      </c>
      <c r="D2" s="32" t="n">
        <v>0</v>
      </c>
      <c r="E2" s="32" t="n">
        <v>0</v>
      </c>
      <c r="F2" s="32" t="n"/>
      <c r="G2" s="32" t="n"/>
      <c r="H2" s="88">
        <f>Tabelle!F99</f>
        <v/>
      </c>
      <c r="I2" s="32" t="n"/>
      <c r="J2" s="32">
        <f>Tabelle!B99</f>
        <v/>
      </c>
      <c r="K2" s="83">
        <f>Tabelle!G75</f>
        <v/>
      </c>
    </row>
    <row r="3">
      <c r="A3" s="43" t="n">
        <v>2024</v>
      </c>
      <c r="B3" s="43" t="n">
        <v>2</v>
      </c>
      <c r="C3" s="32" t="inlineStr">
        <is>
          <t>MG8</t>
        </is>
      </c>
      <c r="D3" s="32" t="n">
        <v>25.11</v>
      </c>
      <c r="E3" s="32" t="n">
        <v>6018</v>
      </c>
      <c r="F3" s="32" t="n"/>
      <c r="G3" s="32" t="n"/>
      <c r="H3" s="88">
        <f>Tabelle!F100</f>
        <v/>
      </c>
      <c r="I3" s="32" t="n"/>
      <c r="J3" s="32">
        <f>Tabelle!B100</f>
        <v/>
      </c>
      <c r="K3" s="83">
        <f>Tabelle!G76</f>
        <v/>
      </c>
    </row>
    <row r="4">
      <c r="A4" s="43" t="n">
        <v>2024</v>
      </c>
      <c r="B4" s="43" t="n">
        <v>3</v>
      </c>
      <c r="C4" s="32" t="inlineStr">
        <is>
          <t>MG8</t>
        </is>
      </c>
      <c r="D4" s="32" t="n">
        <v>0</v>
      </c>
      <c r="E4" s="32" t="n">
        <v>0</v>
      </c>
      <c r="F4" s="32" t="n"/>
      <c r="G4" s="32" t="n"/>
      <c r="H4" s="88">
        <f>Tabelle!F101</f>
        <v/>
      </c>
      <c r="I4" s="32" t="n"/>
      <c r="J4" s="32">
        <f>Tabelle!B101</f>
        <v/>
      </c>
      <c r="K4" s="83">
        <f>Tabelle!G77</f>
        <v/>
      </c>
    </row>
    <row r="5">
      <c r="A5" s="43" t="n">
        <v>2024</v>
      </c>
      <c r="B5" s="43" t="n">
        <v>4</v>
      </c>
      <c r="C5" s="32" t="inlineStr">
        <is>
          <t>MG8</t>
        </is>
      </c>
      <c r="D5" s="32" t="n">
        <v>0</v>
      </c>
      <c r="E5" s="32" t="n">
        <v>180</v>
      </c>
      <c r="F5" s="32" t="n"/>
      <c r="G5" s="32" t="n"/>
      <c r="H5" s="88">
        <f>Tabelle!F102</f>
        <v/>
      </c>
      <c r="I5" s="32" t="n"/>
      <c r="J5" s="32">
        <f>Tabelle!B102</f>
        <v/>
      </c>
      <c r="K5" s="83">
        <f>Tabelle!G78</f>
        <v/>
      </c>
    </row>
    <row r="6">
      <c r="A6" s="43" t="n">
        <v>2024</v>
      </c>
      <c r="B6" s="43" t="n">
        <v>5</v>
      </c>
      <c r="C6" s="32" t="inlineStr">
        <is>
          <t>MG8</t>
        </is>
      </c>
      <c r="D6" s="32" t="n">
        <v>82.95999999999999</v>
      </c>
      <c r="E6" s="32" t="n">
        <v>16386</v>
      </c>
      <c r="F6" s="32" t="n"/>
      <c r="G6" s="32" t="n"/>
      <c r="H6" s="88">
        <f>Tabelle!F103</f>
        <v/>
      </c>
      <c r="I6" s="32" t="n"/>
      <c r="J6" s="32">
        <f>Tabelle!B103</f>
        <v/>
      </c>
      <c r="K6" s="83">
        <f>Tabelle!G79</f>
        <v/>
      </c>
    </row>
    <row r="7">
      <c r="A7" s="43" t="n">
        <v>2024</v>
      </c>
      <c r="B7" s="43" t="n">
        <v>6</v>
      </c>
      <c r="C7" s="32" t="inlineStr">
        <is>
          <t>MG8</t>
        </is>
      </c>
      <c r="D7" s="32" t="n">
        <v>62.68</v>
      </c>
      <c r="E7" s="32" t="n">
        <v>11200</v>
      </c>
      <c r="F7" s="32" t="n"/>
      <c r="G7" s="32" t="n"/>
      <c r="H7" s="88">
        <f>Tabelle!F104</f>
        <v/>
      </c>
      <c r="I7" s="32" t="n"/>
      <c r="J7" s="32">
        <f>Tabelle!B104</f>
        <v/>
      </c>
      <c r="K7" s="83">
        <f>Tabelle!G80</f>
        <v/>
      </c>
    </row>
    <row r="8">
      <c r="A8" s="43" t="n">
        <v>2024</v>
      </c>
      <c r="B8" s="43" t="n">
        <v>7</v>
      </c>
      <c r="C8" s="32" t="inlineStr">
        <is>
          <t>MG8</t>
        </is>
      </c>
      <c r="D8" s="32" t="n">
        <v>0</v>
      </c>
      <c r="E8" s="32" t="n">
        <v>30</v>
      </c>
      <c r="F8" s="32" t="n"/>
      <c r="G8" s="32" t="n"/>
      <c r="H8" s="88">
        <f>Tabelle!F105</f>
        <v/>
      </c>
      <c r="I8" s="32" t="n"/>
      <c r="J8" s="32">
        <f>Tabelle!B105</f>
        <v/>
      </c>
      <c r="K8" s="83">
        <f>Tabelle!G81</f>
        <v/>
      </c>
    </row>
    <row r="9">
      <c r="A9" s="43" t="n">
        <v>2024</v>
      </c>
      <c r="B9" s="43" t="n">
        <v>8</v>
      </c>
      <c r="C9" s="32" t="inlineStr">
        <is>
          <t>MG8</t>
        </is>
      </c>
      <c r="D9" s="32" t="n">
        <v>29.47</v>
      </c>
      <c r="E9" s="32" t="n">
        <v>6543</v>
      </c>
      <c r="F9" s="32" t="n"/>
      <c r="G9" s="32" t="n"/>
      <c r="H9" s="88">
        <f>Tabelle!F106</f>
        <v/>
      </c>
      <c r="I9" s="32" t="n"/>
      <c r="J9" s="32">
        <f>Tabelle!B106</f>
        <v/>
      </c>
      <c r="K9" s="83">
        <f>Tabelle!G82</f>
        <v/>
      </c>
    </row>
    <row r="10">
      <c r="A10" s="43" t="n">
        <v>2024</v>
      </c>
      <c r="B10" s="43" t="n">
        <v>9</v>
      </c>
      <c r="C10" s="32" t="inlineStr">
        <is>
          <t>MG8</t>
        </is>
      </c>
      <c r="D10" s="32" t="n">
        <v>38.6</v>
      </c>
      <c r="E10" s="32" t="n">
        <v>10129</v>
      </c>
      <c r="F10" s="32" t="n"/>
      <c r="G10" s="32" t="n"/>
      <c r="H10" s="88">
        <f>Tabelle!F107</f>
        <v/>
      </c>
      <c r="I10" s="32" t="n"/>
      <c r="J10" s="32">
        <f>Tabelle!B107</f>
        <v/>
      </c>
      <c r="K10" s="83">
        <f>Tabelle!G83</f>
        <v/>
      </c>
    </row>
    <row r="11">
      <c r="A11" s="43" t="n">
        <v>2024</v>
      </c>
      <c r="B11" s="43" t="n">
        <v>10</v>
      </c>
      <c r="C11" s="32" t="inlineStr">
        <is>
          <t>MG8</t>
        </is>
      </c>
      <c r="D11" s="32" t="n">
        <v>18.75</v>
      </c>
      <c r="E11" s="33" t="n">
        <v>4893</v>
      </c>
      <c r="F11" s="32" t="n"/>
      <c r="G11" s="32" t="n"/>
      <c r="H11" s="88">
        <f>Tabelle!F108</f>
        <v/>
      </c>
      <c r="I11" s="32" t="n"/>
      <c r="J11" s="32">
        <f>Tabelle!B108</f>
        <v/>
      </c>
      <c r="K11" s="83">
        <f>Tabelle!G84</f>
        <v/>
      </c>
    </row>
    <row r="12">
      <c r="A12" s="43" t="n">
        <v>2024</v>
      </c>
      <c r="B12" s="43" t="n">
        <v>11</v>
      </c>
      <c r="C12" s="32" t="inlineStr">
        <is>
          <t>MG8</t>
        </is>
      </c>
      <c r="D12" s="25">
        <f>Tabelle!S18</f>
        <v/>
      </c>
      <c r="E12" s="32">
        <f>Tabelle!S32</f>
        <v/>
      </c>
      <c r="F12" s="25">
        <f>Tabelle!S4</f>
        <v/>
      </c>
      <c r="G12" s="32" t="n"/>
      <c r="H12" s="88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43" t="n">
        <v>2024</v>
      </c>
      <c r="B13" s="43" t="n">
        <v>12</v>
      </c>
      <c r="C13" s="32" t="inlineStr">
        <is>
          <t>MG8</t>
        </is>
      </c>
      <c r="D13" s="25">
        <f>Tabelle!S19</f>
        <v/>
      </c>
      <c r="E13" s="32">
        <f>Tabelle!S33</f>
        <v/>
      </c>
      <c r="F13" s="25">
        <f>Tabelle!S5</f>
        <v/>
      </c>
      <c r="G13" s="32" t="n"/>
      <c r="H13" s="88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44" t="n">
        <v>2025</v>
      </c>
      <c r="B14" s="44" t="n">
        <v>1</v>
      </c>
      <c r="C14" s="32" t="inlineStr">
        <is>
          <t>MG8</t>
        </is>
      </c>
      <c r="D14" s="25">
        <f>Tabelle!S20</f>
        <v/>
      </c>
      <c r="E14" s="32">
        <f>Tabelle!S34</f>
        <v/>
      </c>
      <c r="F14" s="25">
        <f>Tabelle!S6</f>
        <v/>
      </c>
      <c r="G14" s="32" t="n"/>
      <c r="H14" s="88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44" t="n">
        <v>2025</v>
      </c>
      <c r="B15" s="44" t="n">
        <v>2</v>
      </c>
      <c r="C15" s="32" t="inlineStr">
        <is>
          <t>MG8</t>
        </is>
      </c>
      <c r="D15" s="25">
        <f>Tabelle!S21</f>
        <v/>
      </c>
      <c r="E15" s="32">
        <f>Tabelle!S35</f>
        <v/>
      </c>
      <c r="F15" s="25">
        <f>Tabelle!S7</f>
        <v/>
      </c>
      <c r="G15" s="32" t="n"/>
      <c r="H15" s="88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44" t="n">
        <v>2025</v>
      </c>
      <c r="B16" s="44" t="n">
        <v>3</v>
      </c>
      <c r="C16" s="32" t="inlineStr">
        <is>
          <t>MG8</t>
        </is>
      </c>
      <c r="D16" s="25">
        <f>Tabelle!S22</f>
        <v/>
      </c>
      <c r="E16" s="32">
        <f>Tabelle!S36</f>
        <v/>
      </c>
      <c r="F16" s="25">
        <f>Tabelle!S8</f>
        <v/>
      </c>
      <c r="G16" s="32" t="n"/>
      <c r="H16" s="88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44" t="n">
        <v>2025</v>
      </c>
      <c r="B17" s="44" t="n">
        <v>4</v>
      </c>
      <c r="C17" s="32" t="inlineStr">
        <is>
          <t>MG8</t>
        </is>
      </c>
      <c r="D17" s="25">
        <f>Tabelle!S23</f>
        <v/>
      </c>
      <c r="E17" s="32">
        <f>Tabelle!S37</f>
        <v/>
      </c>
      <c r="F17" s="25">
        <f>Tabelle!S9</f>
        <v/>
      </c>
      <c r="G17" s="32" t="n"/>
      <c r="H17" s="88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44" t="n">
        <v>2025</v>
      </c>
      <c r="B18" s="44" t="n">
        <v>5</v>
      </c>
      <c r="C18" s="32" t="inlineStr">
        <is>
          <t>MG8</t>
        </is>
      </c>
      <c r="D18" s="25">
        <f>Tabelle!S24</f>
        <v/>
      </c>
      <c r="E18" s="32">
        <f>Tabelle!S38</f>
        <v/>
      </c>
      <c r="F18" s="25">
        <f>Tabelle!S10</f>
        <v/>
      </c>
      <c r="G18" s="32" t="n"/>
      <c r="H18" s="88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44" t="n">
        <v>2025</v>
      </c>
      <c r="B19" s="44" t="n">
        <v>6</v>
      </c>
      <c r="C19" s="32" t="inlineStr">
        <is>
          <t>MG8</t>
        </is>
      </c>
      <c r="D19" s="25">
        <f>Tabelle!S25</f>
        <v/>
      </c>
      <c r="E19" s="32">
        <f>Tabelle!S39</f>
        <v/>
      </c>
      <c r="F19" s="25">
        <f>Tabelle!S11</f>
        <v/>
      </c>
      <c r="G19" s="32" t="n"/>
      <c r="H19" s="88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44" t="n">
        <v>2025</v>
      </c>
      <c r="B20" s="44" t="n">
        <v>7</v>
      </c>
      <c r="C20" s="32" t="inlineStr">
        <is>
          <t>MG8</t>
        </is>
      </c>
      <c r="D20" s="25">
        <f>Tabelle!S26</f>
        <v/>
      </c>
      <c r="E20" s="32">
        <f>Tabelle!S40</f>
        <v/>
      </c>
      <c r="F20" s="25">
        <f>Tabelle!S12</f>
        <v/>
      </c>
      <c r="G20" s="32" t="n"/>
      <c r="H20" s="88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44" t="n">
        <v>2025</v>
      </c>
      <c r="B21" s="44" t="n">
        <v>8</v>
      </c>
      <c r="C21" s="32" t="inlineStr">
        <is>
          <t>MG8</t>
        </is>
      </c>
      <c r="D21" s="25">
        <f>Tabelle!S27</f>
        <v/>
      </c>
      <c r="E21" s="32">
        <f>Tabelle!S41</f>
        <v/>
      </c>
      <c r="F21" s="25">
        <f>Tabelle!S13</f>
        <v/>
      </c>
      <c r="G21" s="32" t="n"/>
      <c r="H21" s="88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44" t="n">
        <v>2025</v>
      </c>
      <c r="B22" s="44" t="n">
        <v>9</v>
      </c>
      <c r="C22" s="32" t="inlineStr">
        <is>
          <t>MG8</t>
        </is>
      </c>
      <c r="D22" s="25">
        <f>Tabelle!S28</f>
        <v/>
      </c>
      <c r="E22" s="32">
        <f>Tabelle!S42</f>
        <v/>
      </c>
      <c r="F22" s="25">
        <f>Tabelle!S14</f>
        <v/>
      </c>
      <c r="G22" s="32" t="n"/>
      <c r="H22" s="88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44" t="n">
        <v>2025</v>
      </c>
      <c r="B23" s="44" t="n">
        <v>10</v>
      </c>
      <c r="C23" s="32" t="inlineStr">
        <is>
          <t>MG8</t>
        </is>
      </c>
      <c r="D23" s="25">
        <f>Tabelle!S29</f>
        <v/>
      </c>
      <c r="E23" s="32">
        <f>Tabelle!S43</f>
        <v/>
      </c>
      <c r="F23" s="25">
        <f>Tabelle!S15</f>
        <v/>
      </c>
      <c r="G23" s="32" t="n"/>
      <c r="H23" s="88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44" t="n">
        <v>2025</v>
      </c>
      <c r="B24" s="44" t="n">
        <v>11</v>
      </c>
      <c r="C24" s="32" t="inlineStr">
        <is>
          <t>MG8</t>
        </is>
      </c>
      <c r="D24" s="32" t="n"/>
      <c r="E24" s="32" t="n"/>
      <c r="F24" s="32" t="n"/>
      <c r="G24" s="32" t="n"/>
      <c r="H24" s="88">
        <f>Tabelle!F121</f>
        <v/>
      </c>
      <c r="I24" s="32" t="n"/>
      <c r="J24" s="32">
        <f>Tabelle!B121</f>
        <v/>
      </c>
      <c r="K24" s="83">
        <f>Tabelle!G99</f>
        <v/>
      </c>
    </row>
    <row r="25">
      <c r="A25" s="44" t="n">
        <v>2025</v>
      </c>
      <c r="B25" s="44" t="n">
        <v>12</v>
      </c>
      <c r="C25" s="32" t="inlineStr">
        <is>
          <t>MG8</t>
        </is>
      </c>
      <c r="D25" s="32" t="n"/>
      <c r="E25" s="32" t="n"/>
      <c r="F25" s="32" t="n"/>
      <c r="G25" s="32" t="n"/>
      <c r="H25" s="88">
        <f>Tabelle!F122</f>
        <v/>
      </c>
      <c r="I25" s="32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glio22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MMAN</t>
        </is>
      </c>
      <c r="D2" s="32" t="n">
        <v>0</v>
      </c>
      <c r="E2" s="32" t="n">
        <v>0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MMAN</t>
        </is>
      </c>
      <c r="D3" s="32" t="n">
        <v>0</v>
      </c>
      <c r="E3" s="32" t="n">
        <v>0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MMAN</t>
        </is>
      </c>
      <c r="D4" s="32" t="n">
        <v>173.01</v>
      </c>
      <c r="E4" s="32" t="n">
        <v>23719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MMAN</t>
        </is>
      </c>
      <c r="D5" s="32" t="n">
        <v>106.12</v>
      </c>
      <c r="E5" s="32" t="n">
        <v>13699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MMAN</t>
        </is>
      </c>
      <c r="D6" s="32" t="n">
        <v>115.74</v>
      </c>
      <c r="E6" s="32" t="n">
        <v>16240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MMAN</t>
        </is>
      </c>
      <c r="D7" s="32" t="n">
        <v>90.61</v>
      </c>
      <c r="E7" s="32" t="n">
        <v>13345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MMAN</t>
        </is>
      </c>
      <c r="D8" s="32" t="n">
        <v>145.33</v>
      </c>
      <c r="E8" s="32" t="n">
        <v>22870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MMAN</t>
        </is>
      </c>
      <c r="D9" s="32" t="n">
        <v>21.28</v>
      </c>
      <c r="E9" s="32" t="n">
        <v>3600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MMAN</t>
        </is>
      </c>
      <c r="D10" s="32" t="n">
        <v>0</v>
      </c>
      <c r="E10" s="32" t="n">
        <v>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MMAN</t>
        </is>
      </c>
      <c r="D11" s="32" t="n">
        <v>67.45</v>
      </c>
      <c r="E11" s="33" t="n">
        <v>14522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MMAN</t>
        </is>
      </c>
      <c r="D12" s="7">
        <f>Tabelle!T18</f>
        <v/>
      </c>
      <c r="E12" s="32">
        <f>Tabelle!T32</f>
        <v/>
      </c>
      <c r="F12" s="7">
        <f>Tabelle!T4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MMAN</t>
        </is>
      </c>
      <c r="D13" s="7">
        <f>Tabelle!T19</f>
        <v/>
      </c>
      <c r="E13" s="32">
        <f>Tabelle!T33</f>
        <v/>
      </c>
      <c r="F13" s="7">
        <f>Tabelle!T5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MMAN</t>
        </is>
      </c>
      <c r="D14" s="7">
        <f>Tabelle!T20</f>
        <v/>
      </c>
      <c r="E14" s="32">
        <f>Tabelle!T34</f>
        <v/>
      </c>
      <c r="F14" s="7">
        <f>Tabelle!T6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MMAN</t>
        </is>
      </c>
      <c r="D15" s="7">
        <f>Tabelle!T21</f>
        <v/>
      </c>
      <c r="E15" s="32">
        <f>Tabelle!T35</f>
        <v/>
      </c>
      <c r="F15" s="7">
        <f>Tabelle!T7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MMAN</t>
        </is>
      </c>
      <c r="D16" s="7">
        <f>Tabelle!T22</f>
        <v/>
      </c>
      <c r="E16" s="32">
        <f>Tabelle!T36</f>
        <v/>
      </c>
      <c r="F16" s="7">
        <f>Tabelle!T8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MMAN</t>
        </is>
      </c>
      <c r="D17" s="7">
        <f>Tabelle!T23</f>
        <v/>
      </c>
      <c r="E17" s="32">
        <f>Tabelle!T37</f>
        <v/>
      </c>
      <c r="F17" s="7">
        <f>Tabelle!T9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MMAN</t>
        </is>
      </c>
      <c r="D18" s="7">
        <f>Tabelle!T24</f>
        <v/>
      </c>
      <c r="E18" s="32">
        <f>Tabelle!T38</f>
        <v/>
      </c>
      <c r="F18" s="7">
        <f>Tabelle!T10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MMAN</t>
        </is>
      </c>
      <c r="D19" s="7">
        <f>Tabelle!T25</f>
        <v/>
      </c>
      <c r="E19" s="32">
        <f>Tabelle!T39</f>
        <v/>
      </c>
      <c r="F19" s="7">
        <f>Tabelle!T11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MMAN</t>
        </is>
      </c>
      <c r="D20" s="7">
        <f>Tabelle!T26</f>
        <v/>
      </c>
      <c r="E20" s="32">
        <f>Tabelle!T40</f>
        <v/>
      </c>
      <c r="F20" s="7">
        <f>Tabelle!T12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MMAN</t>
        </is>
      </c>
      <c r="D21" s="7">
        <f>Tabelle!T27</f>
        <v/>
      </c>
      <c r="E21" s="32">
        <f>Tabelle!T41</f>
        <v/>
      </c>
      <c r="F21" s="7">
        <f>Tabelle!T13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MMAN</t>
        </is>
      </c>
      <c r="D22" s="7">
        <f>Tabelle!T28</f>
        <v/>
      </c>
      <c r="E22" s="32">
        <f>Tabelle!T42</f>
        <v/>
      </c>
      <c r="F22" s="7">
        <f>Tabelle!T14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MMAN</t>
        </is>
      </c>
      <c r="D23" s="7">
        <f>Tabelle!T29</f>
        <v/>
      </c>
      <c r="E23" s="32">
        <f>Tabelle!T43</f>
        <v/>
      </c>
      <c r="F23" s="7">
        <f>Tabelle!T15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MMAN</t>
        </is>
      </c>
      <c r="D24" s="7" t="n"/>
      <c r="E24" s="32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MMAN</t>
        </is>
      </c>
      <c r="D25" s="7" t="n"/>
      <c r="E25" s="32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 codeName="Foglio23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MP1</t>
        </is>
      </c>
      <c r="D2" s="32" t="n">
        <v>43.99</v>
      </c>
      <c r="E2" s="32" t="n">
        <v>8052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MP1</t>
        </is>
      </c>
      <c r="D3" s="32" t="n">
        <v>0</v>
      </c>
      <c r="E3" s="32" t="n">
        <v>0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MP1</t>
        </is>
      </c>
      <c r="D4" s="32" t="n">
        <v>30.36</v>
      </c>
      <c r="E4" s="32" t="n">
        <v>6072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MP1</t>
        </is>
      </c>
      <c r="D5" s="32" t="n">
        <v>35.54</v>
      </c>
      <c r="E5" s="32" t="n">
        <v>6053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MP1</t>
        </is>
      </c>
      <c r="D6" s="32" t="n">
        <v>48.19</v>
      </c>
      <c r="E6" s="32" t="n">
        <v>8980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MP1</t>
        </is>
      </c>
      <c r="D7" s="32" t="n">
        <v>0</v>
      </c>
      <c r="E7" s="32" t="n">
        <v>0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MP1</t>
        </is>
      </c>
      <c r="D8" s="32" t="n">
        <v>0</v>
      </c>
      <c r="E8" s="32" t="n">
        <v>0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MP1</t>
        </is>
      </c>
      <c r="D9" s="32" t="n">
        <v>0</v>
      </c>
      <c r="E9" s="32" t="n">
        <v>0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MP1</t>
        </is>
      </c>
      <c r="D10" s="32" t="n">
        <v>0</v>
      </c>
      <c r="E10" s="32" t="n">
        <v>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MP1</t>
        </is>
      </c>
      <c r="D11" s="32" t="n">
        <v>0</v>
      </c>
      <c r="E11" s="33" t="n">
        <v>0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MP1</t>
        </is>
      </c>
      <c r="D12" s="7">
        <f>Tabelle!U18</f>
        <v/>
      </c>
      <c r="E12" s="32">
        <f>Tabelle!U32</f>
        <v/>
      </c>
      <c r="F12" s="7">
        <f>Tabelle!U4</f>
        <v/>
      </c>
      <c r="G12" s="31" t="n"/>
      <c r="H12" s="86">
        <f>Tabelle!F109</f>
        <v/>
      </c>
      <c r="I12" s="38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MP1</t>
        </is>
      </c>
      <c r="D13" s="7">
        <f>Tabelle!U19</f>
        <v/>
      </c>
      <c r="E13" s="32">
        <f>Tabelle!U33</f>
        <v/>
      </c>
      <c r="F13" s="7">
        <f>Tabelle!U5</f>
        <v/>
      </c>
      <c r="G13" s="31" t="n"/>
      <c r="H13" s="86">
        <f>Tabelle!F110</f>
        <v/>
      </c>
      <c r="I13" s="38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MP1</t>
        </is>
      </c>
      <c r="D14" s="7">
        <f>Tabelle!U20</f>
        <v/>
      </c>
      <c r="E14" s="32">
        <f>Tabelle!U34</f>
        <v/>
      </c>
      <c r="F14" s="7">
        <f>Tabelle!U6</f>
        <v/>
      </c>
      <c r="G14" s="31" t="n"/>
      <c r="H14" s="86">
        <f>Tabelle!F111</f>
        <v/>
      </c>
      <c r="I14" s="38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MP1</t>
        </is>
      </c>
      <c r="D15" s="7">
        <f>Tabelle!U21</f>
        <v/>
      </c>
      <c r="E15" s="32">
        <f>Tabelle!U35</f>
        <v/>
      </c>
      <c r="F15" s="7">
        <f>Tabelle!U7</f>
        <v/>
      </c>
      <c r="G15" s="31" t="n"/>
      <c r="H15" s="86">
        <f>Tabelle!F112</f>
        <v/>
      </c>
      <c r="I15" s="38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MP1</t>
        </is>
      </c>
      <c r="D16" s="7">
        <f>Tabelle!U22</f>
        <v/>
      </c>
      <c r="E16" s="32">
        <f>Tabelle!U36</f>
        <v/>
      </c>
      <c r="F16" s="7">
        <f>Tabelle!U8</f>
        <v/>
      </c>
      <c r="G16" s="31" t="n"/>
      <c r="H16" s="86">
        <f>Tabelle!F113</f>
        <v/>
      </c>
      <c r="I16" s="38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MP1</t>
        </is>
      </c>
      <c r="D17" s="7">
        <f>Tabelle!U23</f>
        <v/>
      </c>
      <c r="E17" s="32">
        <f>Tabelle!U37</f>
        <v/>
      </c>
      <c r="F17" s="7">
        <f>Tabelle!U9</f>
        <v/>
      </c>
      <c r="G17" s="31" t="n"/>
      <c r="H17" s="86">
        <f>Tabelle!F114</f>
        <v/>
      </c>
      <c r="I17" s="38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MP1</t>
        </is>
      </c>
      <c r="D18" s="7">
        <f>Tabelle!U24</f>
        <v/>
      </c>
      <c r="E18" s="32">
        <f>Tabelle!U38</f>
        <v/>
      </c>
      <c r="F18" s="7">
        <f>Tabelle!U10</f>
        <v/>
      </c>
      <c r="G18" s="31" t="n"/>
      <c r="H18" s="86">
        <f>Tabelle!F115</f>
        <v/>
      </c>
      <c r="I18" s="38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MP1</t>
        </is>
      </c>
      <c r="D19" s="7">
        <f>Tabelle!U25</f>
        <v/>
      </c>
      <c r="E19" s="32">
        <f>Tabelle!U39</f>
        <v/>
      </c>
      <c r="F19" s="7">
        <f>Tabelle!U11</f>
        <v/>
      </c>
      <c r="G19" s="31" t="n"/>
      <c r="H19" s="86">
        <f>Tabelle!F116</f>
        <v/>
      </c>
      <c r="I19" s="38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MP1</t>
        </is>
      </c>
      <c r="D20" s="7">
        <f>Tabelle!U26</f>
        <v/>
      </c>
      <c r="E20" s="32">
        <f>Tabelle!U40</f>
        <v/>
      </c>
      <c r="F20" s="7">
        <f>Tabelle!U12</f>
        <v/>
      </c>
      <c r="G20" s="31" t="n"/>
      <c r="H20" s="86">
        <f>Tabelle!F117</f>
        <v/>
      </c>
      <c r="I20" s="38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MP1</t>
        </is>
      </c>
      <c r="D21" s="7">
        <f>Tabelle!U27</f>
        <v/>
      </c>
      <c r="E21" s="32">
        <f>Tabelle!U41</f>
        <v/>
      </c>
      <c r="F21" s="7">
        <f>Tabelle!U13</f>
        <v/>
      </c>
      <c r="G21" s="31" t="n"/>
      <c r="H21" s="86">
        <f>Tabelle!F118</f>
        <v/>
      </c>
      <c r="I21" s="38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MP1</t>
        </is>
      </c>
      <c r="D22" s="7">
        <f>Tabelle!U28</f>
        <v/>
      </c>
      <c r="E22" s="32">
        <f>Tabelle!U42</f>
        <v/>
      </c>
      <c r="F22" s="7">
        <f>Tabelle!U14</f>
        <v/>
      </c>
      <c r="G22" s="31" t="n"/>
      <c r="H22" s="86">
        <f>Tabelle!F119</f>
        <v/>
      </c>
      <c r="I22" s="38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MP1</t>
        </is>
      </c>
      <c r="D23" s="7">
        <f>Tabelle!U29</f>
        <v/>
      </c>
      <c r="E23" s="32">
        <f>Tabelle!U43</f>
        <v/>
      </c>
      <c r="F23" s="7">
        <f>Tabelle!U15</f>
        <v/>
      </c>
      <c r="G23" s="31" t="n"/>
      <c r="H23" s="86">
        <f>Tabelle!F120</f>
        <v/>
      </c>
      <c r="I23" s="38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MP1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MP1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glio24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MP2</t>
        </is>
      </c>
      <c r="D2" s="32" t="n">
        <v>24.19</v>
      </c>
      <c r="E2" s="32" t="n">
        <v>22000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MP2</t>
        </is>
      </c>
      <c r="D3" s="32" t="n">
        <v>120.67</v>
      </c>
      <c r="E3" s="32" t="n">
        <v>80390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MP2</t>
        </is>
      </c>
      <c r="D4" s="32" t="n">
        <v>108.02</v>
      </c>
      <c r="E4" s="32" t="n">
        <v>65908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MP2</t>
        </is>
      </c>
      <c r="D5" s="32" t="n">
        <v>23.13</v>
      </c>
      <c r="E5" s="32" t="n">
        <v>14810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MP2</t>
        </is>
      </c>
      <c r="D6" s="32" t="n">
        <v>27.31</v>
      </c>
      <c r="E6" s="32" t="n">
        <v>20716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MP2</t>
        </is>
      </c>
      <c r="D7" s="32" t="n">
        <v>40.33</v>
      </c>
      <c r="E7" s="32" t="n">
        <v>31850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MP2</t>
        </is>
      </c>
      <c r="D8" s="32" t="n">
        <v>62.54</v>
      </c>
      <c r="E8" s="32" t="n">
        <v>50800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MP2</t>
        </is>
      </c>
      <c r="D9" s="32" t="n">
        <v>10.52</v>
      </c>
      <c r="E9" s="32" t="n">
        <v>7880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MP2</t>
        </is>
      </c>
      <c r="D10" s="32" t="n">
        <v>149.08</v>
      </c>
      <c r="E10" s="32" t="n">
        <v>97414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MP2</t>
        </is>
      </c>
      <c r="D11" s="32" t="n">
        <v>184.18</v>
      </c>
      <c r="E11" s="33" t="n">
        <v>155866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MP2</t>
        </is>
      </c>
      <c r="D12" s="7">
        <f>Tabelle!V18</f>
        <v/>
      </c>
      <c r="E12" s="32">
        <f>Tabelle!V32</f>
        <v/>
      </c>
      <c r="F12" s="7">
        <f>Tabelle!V4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MP2</t>
        </is>
      </c>
      <c r="D13" s="7">
        <f>Tabelle!V19</f>
        <v/>
      </c>
      <c r="E13" s="32">
        <f>Tabelle!V33</f>
        <v/>
      </c>
      <c r="F13" s="7">
        <f>Tabelle!V5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MP2</t>
        </is>
      </c>
      <c r="D14" s="7">
        <f>Tabelle!V20</f>
        <v/>
      </c>
      <c r="E14" s="32">
        <f>Tabelle!V34</f>
        <v/>
      </c>
      <c r="F14" s="7">
        <f>Tabelle!V6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MP2</t>
        </is>
      </c>
      <c r="D15" s="7">
        <f>Tabelle!V21</f>
        <v/>
      </c>
      <c r="E15" s="32">
        <f>Tabelle!V35</f>
        <v/>
      </c>
      <c r="F15" s="7">
        <f>Tabelle!V7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MP2</t>
        </is>
      </c>
      <c r="D16" s="7">
        <f>Tabelle!V22</f>
        <v/>
      </c>
      <c r="E16" s="32">
        <f>Tabelle!V36</f>
        <v/>
      </c>
      <c r="F16" s="7">
        <f>Tabelle!V8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MP2</t>
        </is>
      </c>
      <c r="D17" s="7">
        <f>Tabelle!V23</f>
        <v/>
      </c>
      <c r="E17" s="32">
        <f>Tabelle!V37</f>
        <v/>
      </c>
      <c r="F17" s="7">
        <f>Tabelle!V9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MP2</t>
        </is>
      </c>
      <c r="D18" s="7">
        <f>Tabelle!V24</f>
        <v/>
      </c>
      <c r="E18" s="32">
        <f>Tabelle!V38</f>
        <v/>
      </c>
      <c r="F18" s="7">
        <f>Tabelle!V10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MP2</t>
        </is>
      </c>
      <c r="D19" s="7">
        <f>Tabelle!V25</f>
        <v/>
      </c>
      <c r="E19" s="32">
        <f>Tabelle!V39</f>
        <v/>
      </c>
      <c r="F19" s="7">
        <f>Tabelle!V11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MP2</t>
        </is>
      </c>
      <c r="D20" s="7">
        <f>Tabelle!V26</f>
        <v/>
      </c>
      <c r="E20" s="32">
        <f>Tabelle!V40</f>
        <v/>
      </c>
      <c r="F20" s="7">
        <f>Tabelle!V12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MP2</t>
        </is>
      </c>
      <c r="D21" s="7">
        <f>Tabelle!V27</f>
        <v/>
      </c>
      <c r="E21" s="32">
        <f>Tabelle!V41</f>
        <v/>
      </c>
      <c r="F21" s="7">
        <f>Tabelle!V13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MP2</t>
        </is>
      </c>
      <c r="D22" s="7">
        <f>Tabelle!V28</f>
        <v/>
      </c>
      <c r="E22" s="32">
        <f>Tabelle!V42</f>
        <v/>
      </c>
      <c r="F22" s="7">
        <f>Tabelle!V14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MP2</t>
        </is>
      </c>
      <c r="D23" s="7">
        <f>Tabelle!V29</f>
        <v/>
      </c>
      <c r="E23" s="32">
        <f>Tabelle!V43</f>
        <v/>
      </c>
      <c r="F23" s="7">
        <f>Tabelle!V15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MP2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MP2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 codeName="Foglio25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MP3</t>
        </is>
      </c>
      <c r="D2" s="32" t="n">
        <v>0</v>
      </c>
      <c r="E2" s="32" t="n">
        <v>0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MP3</t>
        </is>
      </c>
      <c r="D3" s="32" t="n">
        <v>61.58</v>
      </c>
      <c r="E3" s="32" t="n">
        <v>22568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MP3</t>
        </is>
      </c>
      <c r="D4" s="32" t="n">
        <v>41.16</v>
      </c>
      <c r="E4" s="32" t="n">
        <v>16740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MP3</t>
        </is>
      </c>
      <c r="D5" s="32" t="n">
        <v>397.27</v>
      </c>
      <c r="E5" s="32" t="n">
        <v>13662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MP3</t>
        </is>
      </c>
      <c r="D6" s="32" t="n">
        <v>62.07</v>
      </c>
      <c r="E6" s="32" t="n">
        <v>24810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MP3</t>
        </is>
      </c>
      <c r="D7" s="32" t="n">
        <v>6.62</v>
      </c>
      <c r="E7" s="32" t="n">
        <v>2300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MP3</t>
        </is>
      </c>
      <c r="D8" s="32" t="n">
        <v>59.08</v>
      </c>
      <c r="E8" s="32" t="n">
        <v>24981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MP3</t>
        </is>
      </c>
      <c r="D9" s="32" t="n">
        <v>12.04</v>
      </c>
      <c r="E9" s="32" t="n">
        <v>4397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MP3</t>
        </is>
      </c>
      <c r="D10" s="32" t="n">
        <v>68.20999999999999</v>
      </c>
      <c r="E10" s="32" t="n">
        <v>33366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MP3</t>
        </is>
      </c>
      <c r="D11" s="32" t="n">
        <v>65.06999999999999</v>
      </c>
      <c r="E11" s="33" t="n">
        <v>36002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MP3</t>
        </is>
      </c>
      <c r="D12" s="7">
        <f>Tabelle!W18</f>
        <v/>
      </c>
      <c r="E12" s="32">
        <f>Tabelle!W32</f>
        <v/>
      </c>
      <c r="F12" s="7">
        <f>Tabelle!W4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MP3</t>
        </is>
      </c>
      <c r="D13" s="7">
        <f>Tabelle!W19</f>
        <v/>
      </c>
      <c r="E13" s="32">
        <f>Tabelle!W33</f>
        <v/>
      </c>
      <c r="F13" s="7">
        <f>Tabelle!W5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MP3</t>
        </is>
      </c>
      <c r="D14" s="7">
        <f>Tabelle!W20</f>
        <v/>
      </c>
      <c r="E14" s="32">
        <f>Tabelle!W34</f>
        <v/>
      </c>
      <c r="F14" s="7">
        <f>Tabelle!W6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MP3</t>
        </is>
      </c>
      <c r="D15" s="7">
        <f>Tabelle!W21</f>
        <v/>
      </c>
      <c r="E15" s="32">
        <f>Tabelle!W35</f>
        <v/>
      </c>
      <c r="F15" s="7">
        <f>Tabelle!W7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MP3</t>
        </is>
      </c>
      <c r="D16" s="7">
        <f>Tabelle!W22</f>
        <v/>
      </c>
      <c r="E16" s="32">
        <f>Tabelle!W36</f>
        <v/>
      </c>
      <c r="F16" s="7">
        <f>Tabelle!W8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MP3</t>
        </is>
      </c>
      <c r="D17" s="7">
        <f>Tabelle!W23</f>
        <v/>
      </c>
      <c r="E17" s="32">
        <f>Tabelle!W37</f>
        <v/>
      </c>
      <c r="F17" s="7">
        <f>Tabelle!W9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MP3</t>
        </is>
      </c>
      <c r="D18" s="7">
        <f>Tabelle!W24</f>
        <v/>
      </c>
      <c r="E18" s="32">
        <f>Tabelle!W38</f>
        <v/>
      </c>
      <c r="F18" s="7">
        <f>Tabelle!W10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MP3</t>
        </is>
      </c>
      <c r="D19" s="7">
        <f>Tabelle!W25</f>
        <v/>
      </c>
      <c r="E19" s="32">
        <f>Tabelle!W39</f>
        <v/>
      </c>
      <c r="F19" s="7">
        <f>Tabelle!W11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MP3</t>
        </is>
      </c>
      <c r="D20" s="7">
        <f>Tabelle!W26</f>
        <v/>
      </c>
      <c r="E20" s="32">
        <f>Tabelle!W40</f>
        <v/>
      </c>
      <c r="F20" s="7">
        <f>Tabelle!W12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MP3</t>
        </is>
      </c>
      <c r="D21" s="7">
        <f>Tabelle!W27</f>
        <v/>
      </c>
      <c r="E21" s="32">
        <f>Tabelle!W41</f>
        <v/>
      </c>
      <c r="F21" s="7">
        <f>Tabelle!W13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MP3</t>
        </is>
      </c>
      <c r="D22" s="7">
        <f>Tabelle!W28</f>
        <v/>
      </c>
      <c r="E22" s="32">
        <f>Tabelle!W42</f>
        <v/>
      </c>
      <c r="F22" s="7">
        <f>Tabelle!W14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MP3</t>
        </is>
      </c>
      <c r="D23" s="7">
        <f>Tabelle!W29</f>
        <v/>
      </c>
      <c r="E23" s="32">
        <f>Tabelle!W43</f>
        <v/>
      </c>
      <c r="F23" s="7">
        <f>Tabelle!W15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MP3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MP3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 codeName="Foglio26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MP4</t>
        </is>
      </c>
      <c r="D2" s="32" t="n">
        <v>67.45</v>
      </c>
      <c r="E2" s="32" t="n">
        <v>27440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MP4</t>
        </is>
      </c>
      <c r="D3" s="32" t="n">
        <v>76.26000000000001</v>
      </c>
      <c r="E3" s="32" t="n">
        <v>27066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MP4</t>
        </is>
      </c>
      <c r="D4" s="32" t="n">
        <v>0</v>
      </c>
      <c r="E4" s="32" t="n">
        <v>0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MP4</t>
        </is>
      </c>
      <c r="D5" s="32" t="n">
        <v>66.19</v>
      </c>
      <c r="E5" s="32" t="n">
        <v>22850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MP4</t>
        </is>
      </c>
      <c r="D6" s="32" t="n">
        <v>145.04</v>
      </c>
      <c r="E6" s="32" t="n">
        <v>54107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MP4</t>
        </is>
      </c>
      <c r="D7" s="32" t="n">
        <v>71.97</v>
      </c>
      <c r="E7" s="32" t="n">
        <v>30860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MP4</t>
        </is>
      </c>
      <c r="D8" s="32" t="n">
        <v>3.46</v>
      </c>
      <c r="E8" s="32" t="n">
        <v>1856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MP4</t>
        </is>
      </c>
      <c r="D9" s="32" t="n">
        <v>76.2</v>
      </c>
      <c r="E9" s="32" t="n">
        <v>24832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MP4</t>
        </is>
      </c>
      <c r="D10" s="32" t="n">
        <v>12.63</v>
      </c>
      <c r="E10" s="32" t="n">
        <v>5432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MP4</t>
        </is>
      </c>
      <c r="D11" s="32" t="n">
        <v>60.25</v>
      </c>
      <c r="E11" s="33" t="n">
        <v>25350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MP4</t>
        </is>
      </c>
      <c r="D12" s="7">
        <f>Tabelle!X18</f>
        <v/>
      </c>
      <c r="E12" s="32">
        <f>Tabelle!X32</f>
        <v/>
      </c>
      <c r="F12" s="7">
        <f>Tabelle!X4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MP4</t>
        </is>
      </c>
      <c r="D13" s="7">
        <f>Tabelle!X19</f>
        <v/>
      </c>
      <c r="E13" s="32">
        <f>Tabelle!X33</f>
        <v/>
      </c>
      <c r="F13" s="7">
        <f>Tabelle!X5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MP4</t>
        </is>
      </c>
      <c r="D14" s="7">
        <f>Tabelle!X20</f>
        <v/>
      </c>
      <c r="E14" s="32">
        <f>Tabelle!X34</f>
        <v/>
      </c>
      <c r="F14" s="7">
        <f>Tabelle!X6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MP4</t>
        </is>
      </c>
      <c r="D15" s="7">
        <f>Tabelle!X21</f>
        <v/>
      </c>
      <c r="E15" s="32">
        <f>Tabelle!X35</f>
        <v/>
      </c>
      <c r="F15" s="7">
        <f>Tabelle!X7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MP4</t>
        </is>
      </c>
      <c r="D16" s="7">
        <f>Tabelle!X22</f>
        <v/>
      </c>
      <c r="E16" s="32">
        <f>Tabelle!X36</f>
        <v/>
      </c>
      <c r="F16" s="7">
        <f>Tabelle!X8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MP4</t>
        </is>
      </c>
      <c r="D17" s="7">
        <f>Tabelle!X23</f>
        <v/>
      </c>
      <c r="E17" s="32">
        <f>Tabelle!X37</f>
        <v/>
      </c>
      <c r="F17" s="7">
        <f>Tabelle!X9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MP4</t>
        </is>
      </c>
      <c r="D18" s="7">
        <f>Tabelle!X24</f>
        <v/>
      </c>
      <c r="E18" s="32">
        <f>Tabelle!X38</f>
        <v/>
      </c>
      <c r="F18" s="7">
        <f>Tabelle!X10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MP4</t>
        </is>
      </c>
      <c r="D19" s="7">
        <f>Tabelle!X25</f>
        <v/>
      </c>
      <c r="E19" s="32">
        <f>Tabelle!X39</f>
        <v/>
      </c>
      <c r="F19" s="7">
        <f>Tabelle!X11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MP4</t>
        </is>
      </c>
      <c r="D20" s="7">
        <f>Tabelle!X26</f>
        <v/>
      </c>
      <c r="E20" s="32">
        <f>Tabelle!X40</f>
        <v/>
      </c>
      <c r="F20" s="7">
        <f>Tabelle!X12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MP4</t>
        </is>
      </c>
      <c r="D21" s="7">
        <f>Tabelle!X27</f>
        <v/>
      </c>
      <c r="E21" s="32">
        <f>Tabelle!X41</f>
        <v/>
      </c>
      <c r="F21" s="7">
        <f>Tabelle!X13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MP4</t>
        </is>
      </c>
      <c r="D22" s="7">
        <f>Tabelle!X28</f>
        <v/>
      </c>
      <c r="E22" s="32">
        <f>Tabelle!X42</f>
        <v/>
      </c>
      <c r="F22" s="7">
        <f>Tabelle!X14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MP4</t>
        </is>
      </c>
      <c r="D23" s="7">
        <f>Tabelle!X29</f>
        <v/>
      </c>
      <c r="E23" s="32">
        <f>Tabelle!X43</f>
        <v/>
      </c>
      <c r="F23" s="7">
        <f>Tabelle!X15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MP4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MP4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 codeName="Foglio27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SERCAM</t>
        </is>
      </c>
      <c r="D2" s="23" t="n"/>
      <c r="E2" s="23" t="n"/>
      <c r="F2" s="5" t="n"/>
      <c r="G2" s="5" t="n"/>
      <c r="H2" s="87">
        <f>Tabelle!F99</f>
        <v/>
      </c>
      <c r="I2" s="5" t="n"/>
      <c r="J2" s="32">
        <f>Tabelle!B99</f>
        <v/>
      </c>
      <c r="K2" s="83">
        <f>Tabelle!G75</f>
        <v/>
      </c>
    </row>
    <row r="3">
      <c r="A3" s="4" t="n">
        <v>2024</v>
      </c>
      <c r="B3" s="4" t="n">
        <v>2</v>
      </c>
      <c r="C3" s="5" t="inlineStr">
        <is>
          <t>SERCAM</t>
        </is>
      </c>
      <c r="D3" s="23" t="n"/>
      <c r="E3" s="23" t="n"/>
      <c r="F3" s="5" t="n"/>
      <c r="G3" s="5" t="n"/>
      <c r="H3" s="87">
        <f>Tabelle!F100</f>
        <v/>
      </c>
      <c r="I3" s="5" t="n"/>
      <c r="J3" s="32">
        <f>Tabelle!B100</f>
        <v/>
      </c>
      <c r="K3" s="83">
        <f>Tabelle!G76</f>
        <v/>
      </c>
    </row>
    <row r="4">
      <c r="A4" s="4" t="n">
        <v>2024</v>
      </c>
      <c r="B4" s="4" t="n">
        <v>3</v>
      </c>
      <c r="C4" s="5" t="inlineStr">
        <is>
          <t>SERCAM</t>
        </is>
      </c>
      <c r="D4" s="23" t="n"/>
      <c r="E4" s="23" t="n"/>
      <c r="F4" s="5" t="n"/>
      <c r="G4" s="5" t="n"/>
      <c r="H4" s="87">
        <f>Tabelle!F101</f>
        <v/>
      </c>
      <c r="I4" s="5" t="n"/>
      <c r="J4" s="32">
        <f>Tabelle!B101</f>
        <v/>
      </c>
      <c r="K4" s="83">
        <f>Tabelle!G77</f>
        <v/>
      </c>
    </row>
    <row r="5">
      <c r="A5" s="4" t="n">
        <v>2024</v>
      </c>
      <c r="B5" s="4" t="n">
        <v>4</v>
      </c>
      <c r="C5" s="5" t="inlineStr">
        <is>
          <t>SERCAM</t>
        </is>
      </c>
      <c r="D5" s="23" t="n"/>
      <c r="E5" s="23" t="n"/>
      <c r="F5" s="5" t="n"/>
      <c r="G5" s="5" t="n"/>
      <c r="H5" s="87">
        <f>Tabelle!F102</f>
        <v/>
      </c>
      <c r="I5" s="5" t="n"/>
      <c r="J5" s="32">
        <f>Tabelle!B102</f>
        <v/>
      </c>
      <c r="K5" s="83">
        <f>Tabelle!G78</f>
        <v/>
      </c>
    </row>
    <row r="6">
      <c r="A6" s="4" t="n">
        <v>2024</v>
      </c>
      <c r="B6" s="4" t="n">
        <v>5</v>
      </c>
      <c r="C6" s="5" t="inlineStr">
        <is>
          <t>SERCAM</t>
        </is>
      </c>
      <c r="D6" s="23" t="n"/>
      <c r="E6" s="23" t="n"/>
      <c r="F6" s="5" t="n"/>
      <c r="G6" s="5" t="n"/>
      <c r="H6" s="87">
        <f>Tabelle!F103</f>
        <v/>
      </c>
      <c r="I6" s="5" t="n"/>
      <c r="J6" s="32">
        <f>Tabelle!B103</f>
        <v/>
      </c>
      <c r="K6" s="83">
        <f>Tabelle!G79</f>
        <v/>
      </c>
    </row>
    <row r="7">
      <c r="A7" s="4" t="n">
        <v>2024</v>
      </c>
      <c r="B7" s="4" t="n">
        <v>6</v>
      </c>
      <c r="C7" s="5" t="inlineStr">
        <is>
          <t>SERCAM</t>
        </is>
      </c>
      <c r="D7" s="23" t="n"/>
      <c r="E7" s="23" t="n"/>
      <c r="F7" s="5" t="n"/>
      <c r="G7" s="5" t="n"/>
      <c r="H7" s="87">
        <f>Tabelle!F104</f>
        <v/>
      </c>
      <c r="I7" s="5" t="n"/>
      <c r="J7" s="32">
        <f>Tabelle!B104</f>
        <v/>
      </c>
      <c r="K7" s="83">
        <f>Tabelle!G80</f>
        <v/>
      </c>
    </row>
    <row r="8">
      <c r="A8" s="4" t="n">
        <v>2024</v>
      </c>
      <c r="B8" s="4" t="n">
        <v>7</v>
      </c>
      <c r="C8" s="5" t="inlineStr">
        <is>
          <t>SERCAM</t>
        </is>
      </c>
      <c r="D8" s="23" t="n"/>
      <c r="E8" s="23" t="n"/>
      <c r="F8" s="5" t="n"/>
      <c r="G8" s="5" t="n"/>
      <c r="H8" s="87">
        <f>Tabelle!F105</f>
        <v/>
      </c>
      <c r="I8" s="5" t="n"/>
      <c r="J8" s="32">
        <f>Tabelle!B105</f>
        <v/>
      </c>
      <c r="K8" s="83">
        <f>Tabelle!G81</f>
        <v/>
      </c>
    </row>
    <row r="9">
      <c r="A9" s="4" t="n">
        <v>2024</v>
      </c>
      <c r="B9" s="4" t="n">
        <v>8</v>
      </c>
      <c r="C9" s="5" t="inlineStr">
        <is>
          <t>SERCAM</t>
        </is>
      </c>
      <c r="D9" s="23" t="n"/>
      <c r="E9" s="23" t="n"/>
      <c r="F9" s="5" t="n"/>
      <c r="G9" s="5" t="n"/>
      <c r="H9" s="87">
        <f>Tabelle!F106</f>
        <v/>
      </c>
      <c r="I9" s="5" t="n"/>
      <c r="J9" s="32">
        <f>Tabelle!B106</f>
        <v/>
      </c>
      <c r="K9" s="83">
        <f>Tabelle!G82</f>
        <v/>
      </c>
    </row>
    <row r="10">
      <c r="A10" s="4" t="n">
        <v>2024</v>
      </c>
      <c r="B10" s="4" t="n">
        <v>9</v>
      </c>
      <c r="C10" s="5" t="inlineStr">
        <is>
          <t>SERCAM</t>
        </is>
      </c>
      <c r="D10" s="23" t="n"/>
      <c r="E10" s="23" t="n"/>
      <c r="F10" s="5" t="n"/>
      <c r="G10" s="5" t="n"/>
      <c r="H10" s="87">
        <f>Tabelle!F107</f>
        <v/>
      </c>
      <c r="I10" s="5" t="n"/>
      <c r="J10" s="32">
        <f>Tabelle!B107</f>
        <v/>
      </c>
      <c r="K10" s="83">
        <f>Tabelle!G83</f>
        <v/>
      </c>
    </row>
    <row r="11">
      <c r="A11" s="4" t="n">
        <v>2024</v>
      </c>
      <c r="B11" s="4" t="n">
        <v>10</v>
      </c>
      <c r="C11" s="5" t="inlineStr">
        <is>
          <t>SERCAM</t>
        </is>
      </c>
      <c r="D11" s="23" t="n">
        <v>0.01</v>
      </c>
      <c r="E11" s="24" t="n">
        <v>7</v>
      </c>
      <c r="F11" s="5" t="n"/>
      <c r="G11" s="5" t="n"/>
      <c r="H11" s="87">
        <f>Tabelle!F108</f>
        <v/>
      </c>
      <c r="I11" s="5" t="n"/>
      <c r="J11" s="32">
        <f>Tabelle!B108</f>
        <v/>
      </c>
      <c r="K11" s="83">
        <f>Tabelle!G84</f>
        <v/>
      </c>
    </row>
    <row r="12">
      <c r="A12" s="4" t="n">
        <v>2024</v>
      </c>
      <c r="B12" s="4" t="n">
        <v>11</v>
      </c>
      <c r="C12" s="5" t="inlineStr">
        <is>
          <t>SERCAM</t>
        </is>
      </c>
      <c r="D12" s="25" t="n"/>
      <c r="E12" s="23" t="n"/>
      <c r="F12" s="7" t="n"/>
      <c r="G12" s="5" t="n"/>
      <c r="H12" s="87">
        <f>Tabelle!F109</f>
        <v/>
      </c>
      <c r="I12" s="9">
        <f>F12*H12</f>
        <v/>
      </c>
      <c r="J12" s="32">
        <f>Tabelle!B109</f>
        <v/>
      </c>
      <c r="K12" s="83">
        <f>Tabelle!G85</f>
        <v/>
      </c>
    </row>
    <row r="13">
      <c r="A13" s="4" t="n">
        <v>2024</v>
      </c>
      <c r="B13" s="4" t="n">
        <v>12</v>
      </c>
      <c r="C13" s="5" t="inlineStr">
        <is>
          <t>SERCAM</t>
        </is>
      </c>
      <c r="D13" s="25" t="n"/>
      <c r="E13" s="25" t="n"/>
      <c r="F13" s="7" t="n"/>
      <c r="G13" s="5" t="n"/>
      <c r="H13" s="87">
        <f>Tabelle!F110</f>
        <v/>
      </c>
      <c r="I13" s="9">
        <f>F13*H13</f>
        <v/>
      </c>
      <c r="J13" s="32">
        <f>Tabelle!B110</f>
        <v/>
      </c>
      <c r="K13" s="83">
        <f>Tabelle!G86</f>
        <v/>
      </c>
    </row>
    <row r="14">
      <c r="A14" s="6" t="n">
        <v>2025</v>
      </c>
      <c r="B14" s="6" t="n">
        <v>1</v>
      </c>
      <c r="C14" s="5" t="inlineStr">
        <is>
          <t>SERCAM</t>
        </is>
      </c>
      <c r="D14" s="25" t="n"/>
      <c r="E14" s="25" t="n"/>
      <c r="F14" s="7" t="n"/>
      <c r="G14" s="5" t="n"/>
      <c r="H14" s="87">
        <f>Tabelle!F111</f>
        <v/>
      </c>
      <c r="I14" s="9">
        <f>F14*H14</f>
        <v/>
      </c>
      <c r="J14" s="32">
        <f>Tabelle!B111</f>
        <v/>
      </c>
      <c r="K14" s="83">
        <f>Tabelle!G87</f>
        <v/>
      </c>
    </row>
    <row r="15">
      <c r="A15" s="6" t="n">
        <v>2025</v>
      </c>
      <c r="B15" s="6" t="n">
        <v>2</v>
      </c>
      <c r="C15" s="5" t="inlineStr">
        <is>
          <t>SERCAM</t>
        </is>
      </c>
      <c r="D15" s="25" t="n"/>
      <c r="E15" s="25" t="n"/>
      <c r="F15" s="7" t="n"/>
      <c r="G15" s="5" t="n"/>
      <c r="H15" s="87">
        <f>Tabelle!F112</f>
        <v/>
      </c>
      <c r="I15" s="9">
        <f>F15*H15</f>
        <v/>
      </c>
      <c r="J15" s="32">
        <f>Tabelle!B112</f>
        <v/>
      </c>
      <c r="K15" s="83">
        <f>Tabelle!G88</f>
        <v/>
      </c>
    </row>
    <row r="16">
      <c r="A16" s="6" t="n">
        <v>2025</v>
      </c>
      <c r="B16" s="6" t="n">
        <v>3</v>
      </c>
      <c r="C16" s="5" t="inlineStr">
        <is>
          <t>SERCAM</t>
        </is>
      </c>
      <c r="D16" s="25" t="n"/>
      <c r="E16" s="25" t="n"/>
      <c r="F16" s="7" t="n"/>
      <c r="G16" s="5" t="n"/>
      <c r="H16" s="87">
        <f>Tabelle!F113</f>
        <v/>
      </c>
      <c r="I16" s="9">
        <f>F16*H16</f>
        <v/>
      </c>
      <c r="J16" s="32">
        <f>Tabelle!B113</f>
        <v/>
      </c>
      <c r="K16" s="83">
        <f>Tabelle!G89</f>
        <v/>
      </c>
    </row>
    <row r="17">
      <c r="A17" s="6" t="n">
        <v>2025</v>
      </c>
      <c r="B17" s="6" t="n">
        <v>4</v>
      </c>
      <c r="C17" s="5" t="inlineStr">
        <is>
          <t>SERCAM</t>
        </is>
      </c>
      <c r="D17" s="25" t="n"/>
      <c r="E17" s="25" t="n"/>
      <c r="F17" s="7" t="n"/>
      <c r="G17" s="5" t="n"/>
      <c r="H17" s="87">
        <f>Tabelle!F114</f>
        <v/>
      </c>
      <c r="I17" s="9">
        <f>F17*H17</f>
        <v/>
      </c>
      <c r="J17" s="32">
        <f>Tabelle!B114</f>
        <v/>
      </c>
      <c r="K17" s="83">
        <f>Tabelle!G90</f>
        <v/>
      </c>
    </row>
    <row r="18">
      <c r="A18" s="6" t="n">
        <v>2025</v>
      </c>
      <c r="B18" s="6" t="n">
        <v>5</v>
      </c>
      <c r="C18" s="5" t="inlineStr">
        <is>
          <t>SERCAM</t>
        </is>
      </c>
      <c r="D18" s="25" t="n"/>
      <c r="E18" s="25" t="n"/>
      <c r="F18" s="7" t="n"/>
      <c r="G18" s="5" t="n"/>
      <c r="H18" s="87">
        <f>Tabelle!F115</f>
        <v/>
      </c>
      <c r="I18" s="9">
        <f>F18*H18</f>
        <v/>
      </c>
      <c r="J18" s="32">
        <f>Tabelle!B115</f>
        <v/>
      </c>
      <c r="K18" s="83">
        <f>Tabelle!G91</f>
        <v/>
      </c>
    </row>
    <row r="19">
      <c r="A19" s="6" t="n">
        <v>2025</v>
      </c>
      <c r="B19" s="6" t="n">
        <v>6</v>
      </c>
      <c r="C19" s="5" t="inlineStr">
        <is>
          <t>SERCAM</t>
        </is>
      </c>
      <c r="D19" s="25" t="n"/>
      <c r="E19" s="25" t="n"/>
      <c r="F19" s="7" t="n"/>
      <c r="G19" s="5" t="n"/>
      <c r="H19" s="87">
        <f>Tabelle!F116</f>
        <v/>
      </c>
      <c r="I19" s="9">
        <f>F19*H19</f>
        <v/>
      </c>
      <c r="J19" s="32">
        <f>Tabelle!B116</f>
        <v/>
      </c>
      <c r="K19" s="83">
        <f>Tabelle!G92</f>
        <v/>
      </c>
    </row>
    <row r="20">
      <c r="A20" s="6" t="n">
        <v>2025</v>
      </c>
      <c r="B20" s="6" t="n">
        <v>7</v>
      </c>
      <c r="C20" s="5" t="inlineStr">
        <is>
          <t>SERCAM</t>
        </is>
      </c>
      <c r="D20" s="25" t="n"/>
      <c r="E20" s="25" t="n"/>
      <c r="F20" s="7" t="n"/>
      <c r="G20" s="5" t="n"/>
      <c r="H20" s="87">
        <f>Tabelle!F117</f>
        <v/>
      </c>
      <c r="I20" s="9">
        <f>F20*H20</f>
        <v/>
      </c>
      <c r="J20" s="32">
        <f>Tabelle!B117</f>
        <v/>
      </c>
      <c r="K20" s="83">
        <f>Tabelle!G93</f>
        <v/>
      </c>
    </row>
    <row r="21">
      <c r="A21" s="6" t="n">
        <v>2025</v>
      </c>
      <c r="B21" s="6" t="n">
        <v>8</v>
      </c>
      <c r="C21" s="5" t="inlineStr">
        <is>
          <t>SERCAM</t>
        </is>
      </c>
      <c r="D21" s="23" t="n"/>
      <c r="E21" s="23" t="n"/>
      <c r="F21" s="5" t="n"/>
      <c r="G21" s="5" t="n"/>
      <c r="H21" s="87">
        <f>Tabelle!F118</f>
        <v/>
      </c>
      <c r="I21" s="9">
        <f>F21*H21</f>
        <v/>
      </c>
      <c r="J21" s="32">
        <f>Tabelle!B118</f>
        <v/>
      </c>
      <c r="K21" s="83">
        <f>Tabelle!G94</f>
        <v/>
      </c>
    </row>
    <row r="22">
      <c r="A22" s="6" t="n">
        <v>2025</v>
      </c>
      <c r="B22" s="6" t="n">
        <v>9</v>
      </c>
      <c r="C22" s="5" t="inlineStr">
        <is>
          <t>SERCAM</t>
        </is>
      </c>
      <c r="D22" s="23" t="n">
        <v>0</v>
      </c>
      <c r="E22" s="23" t="n">
        <v>0</v>
      </c>
      <c r="F22" s="5" t="n"/>
      <c r="G22" s="5" t="n"/>
      <c r="H22" s="87">
        <f>Tabelle!F119</f>
        <v/>
      </c>
      <c r="I22" s="5" t="n"/>
      <c r="J22" s="32">
        <f>Tabelle!B119</f>
        <v/>
      </c>
      <c r="K22" s="83">
        <f>Tabelle!G97</f>
        <v/>
      </c>
    </row>
    <row r="23">
      <c r="A23" s="6" t="n">
        <v>2025</v>
      </c>
      <c r="B23" s="6" t="n">
        <v>10</v>
      </c>
      <c r="C23" s="5" t="inlineStr">
        <is>
          <t>SERCAM</t>
        </is>
      </c>
      <c r="D23" s="23" t="n">
        <v>0</v>
      </c>
      <c r="E23" s="23" t="n">
        <v>0</v>
      </c>
      <c r="F23" s="5" t="n"/>
      <c r="G23" s="5" t="n"/>
      <c r="H23" s="87">
        <f>Tabelle!F120</f>
        <v/>
      </c>
      <c r="I23" s="5" t="n"/>
      <c r="J23" s="32">
        <f>Tabelle!B120</f>
        <v/>
      </c>
      <c r="K23" s="83">
        <f>Tabelle!G98</f>
        <v/>
      </c>
    </row>
    <row r="24">
      <c r="A24" s="6" t="n">
        <v>2025</v>
      </c>
      <c r="B24" s="6" t="n">
        <v>11</v>
      </c>
      <c r="C24" s="5" t="inlineStr">
        <is>
          <t>SERCAM</t>
        </is>
      </c>
      <c r="D24" s="23" t="n"/>
      <c r="E24" s="23" t="n"/>
      <c r="F24" s="5" t="n"/>
      <c r="G24" s="5" t="n"/>
      <c r="H24" s="87">
        <f>Tabelle!F121</f>
        <v/>
      </c>
      <c r="I24" s="5" t="n"/>
      <c r="J24" s="32">
        <f>Tabelle!B121</f>
        <v/>
      </c>
      <c r="K24" s="83">
        <f>Tabelle!G99</f>
        <v/>
      </c>
    </row>
    <row r="25">
      <c r="A25" s="6" t="n">
        <v>2025</v>
      </c>
      <c r="B25" s="6" t="n">
        <v>12</v>
      </c>
      <c r="C25" s="5" t="inlineStr">
        <is>
          <t>SERCAM</t>
        </is>
      </c>
      <c r="D25" s="23" t="n"/>
      <c r="E25" s="23" t="n"/>
      <c r="F25" s="5" t="n"/>
      <c r="G25" s="5" t="n"/>
      <c r="H25" s="87">
        <f>Tabelle!F122</f>
        <v/>
      </c>
      <c r="I25" s="5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 codeName="Foglio28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TMPM2</t>
        </is>
      </c>
      <c r="D2" s="32" t="n">
        <v>39.27</v>
      </c>
      <c r="E2" s="32" t="n">
        <v>11077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TMPM2</t>
        </is>
      </c>
      <c r="D3" s="32" t="n">
        <v>19</v>
      </c>
      <c r="E3" s="32" t="n">
        <v>5625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TMPM2</t>
        </is>
      </c>
      <c r="D4" s="32" t="n">
        <v>157.46</v>
      </c>
      <c r="E4" s="32" t="n">
        <v>30131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TMPM2</t>
        </is>
      </c>
      <c r="D5" s="32" t="n">
        <v>78.11</v>
      </c>
      <c r="E5" s="32" t="n">
        <v>25849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TMPM2</t>
        </is>
      </c>
      <c r="D6" s="32" t="n">
        <v>178.81</v>
      </c>
      <c r="E6" s="32" t="n">
        <v>25824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TMPM2</t>
        </is>
      </c>
      <c r="D7" s="32" t="n">
        <v>7.35</v>
      </c>
      <c r="E7" s="32" t="n">
        <v>2632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TMPM2</t>
        </is>
      </c>
      <c r="D8" s="32" t="n">
        <v>112.09</v>
      </c>
      <c r="E8" s="32" t="n">
        <v>32609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TMPM2</t>
        </is>
      </c>
      <c r="D9" s="32" t="n">
        <v>21.29</v>
      </c>
      <c r="E9" s="32" t="n">
        <v>3856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TMPM2</t>
        </is>
      </c>
      <c r="D10" s="32" t="n">
        <v>0</v>
      </c>
      <c r="E10" s="32" t="n">
        <v>0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TMPM2</t>
        </is>
      </c>
      <c r="D11" s="32" t="n">
        <v>0</v>
      </c>
      <c r="E11" s="33" t="n">
        <v>0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TMPM2</t>
        </is>
      </c>
      <c r="D12" s="7">
        <f>Tabelle!Z18</f>
        <v/>
      </c>
      <c r="E12" s="32">
        <f>Tabelle!Z32</f>
        <v/>
      </c>
      <c r="F12" s="7">
        <f>Tabelle!Z4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TMPM2</t>
        </is>
      </c>
      <c r="D13" s="7">
        <f>Tabelle!Z19</f>
        <v/>
      </c>
      <c r="E13" s="32">
        <f>Tabelle!Z33</f>
        <v/>
      </c>
      <c r="F13" s="7">
        <f>Tabelle!Z5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TMPM2</t>
        </is>
      </c>
      <c r="D14" s="7">
        <f>Tabelle!Z20</f>
        <v/>
      </c>
      <c r="E14" s="32">
        <f>Tabelle!Z34</f>
        <v/>
      </c>
      <c r="F14" s="7">
        <f>Tabelle!Z6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TMPM2</t>
        </is>
      </c>
      <c r="D15" s="7">
        <f>Tabelle!Z21</f>
        <v/>
      </c>
      <c r="E15" s="32">
        <f>Tabelle!Z35</f>
        <v/>
      </c>
      <c r="F15" s="7">
        <f>Tabelle!Z7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TMPM2</t>
        </is>
      </c>
      <c r="D16" s="7">
        <f>Tabelle!Z22</f>
        <v/>
      </c>
      <c r="E16" s="32">
        <f>Tabelle!Z36</f>
        <v/>
      </c>
      <c r="F16" s="7">
        <f>Tabelle!Z8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TMPM2</t>
        </is>
      </c>
      <c r="D17" s="7">
        <f>Tabelle!Z23</f>
        <v/>
      </c>
      <c r="E17" s="32">
        <f>Tabelle!Z37</f>
        <v/>
      </c>
      <c r="F17" s="7">
        <f>Tabelle!Z9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TMPM2</t>
        </is>
      </c>
      <c r="D18" s="7">
        <f>Tabelle!Z24</f>
        <v/>
      </c>
      <c r="E18" s="32">
        <f>Tabelle!Z38</f>
        <v/>
      </c>
      <c r="F18" s="7">
        <f>Tabelle!Z10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TMPM2</t>
        </is>
      </c>
      <c r="D19" s="7">
        <f>Tabelle!Z25</f>
        <v/>
      </c>
      <c r="E19" s="32">
        <f>Tabelle!Z39</f>
        <v/>
      </c>
      <c r="F19" s="7">
        <f>Tabelle!Z11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TMPM2</t>
        </is>
      </c>
      <c r="D20" s="7">
        <f>Tabelle!Z26</f>
        <v/>
      </c>
      <c r="E20" s="32">
        <f>Tabelle!Z40</f>
        <v/>
      </c>
      <c r="F20" s="7">
        <f>Tabelle!Z12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TMPM2</t>
        </is>
      </c>
      <c r="D21" s="7">
        <f>Tabelle!Z27</f>
        <v/>
      </c>
      <c r="E21" s="32">
        <f>Tabelle!Z41</f>
        <v/>
      </c>
      <c r="F21" s="7">
        <f>Tabelle!Z13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TMPM2</t>
        </is>
      </c>
      <c r="D22" s="7">
        <f>Tabelle!Z28</f>
        <v/>
      </c>
      <c r="E22" s="32">
        <f>Tabelle!Z42</f>
        <v/>
      </c>
      <c r="F22" s="7">
        <f>Tabelle!Z14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Tabelle!G95</f>
        <v/>
      </c>
    </row>
    <row r="23">
      <c r="A23" s="35" t="n">
        <v>2025</v>
      </c>
      <c r="B23" s="35" t="n">
        <v>10</v>
      </c>
      <c r="C23" s="31" t="inlineStr">
        <is>
          <t>TMPM2</t>
        </is>
      </c>
      <c r="D23" s="7">
        <f>Tabelle!Z29</f>
        <v/>
      </c>
      <c r="E23" s="32">
        <f>Tabelle!Z43</f>
        <v/>
      </c>
      <c r="F23" s="7">
        <f>Tabelle!Z15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Tabelle!G96</f>
        <v/>
      </c>
    </row>
    <row r="24">
      <c r="A24" s="35" t="n">
        <v>2025</v>
      </c>
      <c r="B24" s="35" t="n">
        <v>11</v>
      </c>
      <c r="C24" s="31" t="inlineStr">
        <is>
          <t>TMPM2</t>
        </is>
      </c>
      <c r="D24" s="31" t="n"/>
      <c r="E24" s="31" t="n"/>
      <c r="F24" s="31" t="n"/>
      <c r="G24" s="31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TMPM2</t>
        </is>
      </c>
      <c r="D25" s="31" t="n"/>
      <c r="E25" s="31" t="n"/>
      <c r="F25" s="31" t="n"/>
      <c r="G25" s="31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 codeName="Foglio29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1" t="inlineStr">
        <is>
          <t xml:space="preserve">anno </t>
        </is>
      </c>
      <c r="B1" s="1" t="inlineStr">
        <is>
          <t xml:space="preserve">mese </t>
        </is>
      </c>
      <c r="C1" s="1" t="inlineStr">
        <is>
          <t>macchina o impianto</t>
        </is>
      </c>
      <c r="D1" s="2" t="inlineStr">
        <is>
          <t>ore produzione macchina</t>
        </is>
      </c>
      <c r="E1" s="2" t="inlineStr">
        <is>
          <t>pezzi prodotti</t>
        </is>
      </c>
      <c r="F1" s="2" t="inlineStr">
        <is>
          <t xml:space="preserve">consumo </t>
        </is>
      </c>
      <c r="G1" s="2" t="inlineStr">
        <is>
          <t xml:space="preserve">lettura </t>
        </is>
      </c>
      <c r="H1" s="2" t="inlineStr">
        <is>
          <t>costo energia</t>
        </is>
      </c>
      <c r="I1" s="2" t="inlineStr">
        <is>
          <t>costo macchina</t>
        </is>
      </c>
      <c r="J1" s="3" t="inlineStr">
        <is>
          <t>consumo da bolletta</t>
        </is>
      </c>
      <c r="K1" s="3" t="inlineStr">
        <is>
          <t>totale bolletta</t>
        </is>
      </c>
    </row>
    <row r="2">
      <c r="A2" s="4" t="n">
        <v>2024</v>
      </c>
      <c r="B2" s="4" t="n">
        <v>1</v>
      </c>
      <c r="C2" s="5" t="inlineStr">
        <is>
          <t>TMPMA2</t>
        </is>
      </c>
      <c r="D2" s="69" t="n">
        <v>0</v>
      </c>
      <c r="E2" s="23" t="n">
        <v>0</v>
      </c>
      <c r="F2" s="5" t="n"/>
      <c r="G2" s="5" t="n"/>
      <c r="H2" s="87">
        <f>Tabelle!F99</f>
        <v/>
      </c>
      <c r="I2" s="5" t="n"/>
      <c r="J2" s="32">
        <f>Tabelle!B99</f>
        <v/>
      </c>
      <c r="K2" s="83">
        <f>Tabelle!G75</f>
        <v/>
      </c>
    </row>
    <row r="3">
      <c r="A3" s="4" t="n">
        <v>2024</v>
      </c>
      <c r="B3" s="4" t="n">
        <v>2</v>
      </c>
      <c r="C3" s="5" t="inlineStr">
        <is>
          <t>TMPMA2</t>
        </is>
      </c>
      <c r="D3" s="69" t="n">
        <v>0</v>
      </c>
      <c r="E3" s="23" t="n">
        <v>0</v>
      </c>
      <c r="F3" s="5" t="n"/>
      <c r="G3" s="5" t="n"/>
      <c r="H3" s="87">
        <f>Tabelle!F100</f>
        <v/>
      </c>
      <c r="I3" s="5" t="n"/>
      <c r="J3" s="32">
        <f>Tabelle!B100</f>
        <v/>
      </c>
      <c r="K3" s="83">
        <f>Tabelle!G76</f>
        <v/>
      </c>
    </row>
    <row r="4">
      <c r="A4" s="4" t="n">
        <v>2024</v>
      </c>
      <c r="B4" s="4" t="n">
        <v>3</v>
      </c>
      <c r="C4" s="5" t="inlineStr">
        <is>
          <t>TMPMA2</t>
        </is>
      </c>
      <c r="D4" s="69" t="n">
        <v>31.5</v>
      </c>
      <c r="E4" s="23" t="n">
        <v>8776</v>
      </c>
      <c r="F4" s="5" t="n"/>
      <c r="G4" s="5" t="n"/>
      <c r="H4" s="87">
        <f>Tabelle!F101</f>
        <v/>
      </c>
      <c r="I4" s="5" t="n"/>
      <c r="J4" s="32">
        <f>Tabelle!B101</f>
        <v/>
      </c>
      <c r="K4" s="83">
        <f>Tabelle!G77</f>
        <v/>
      </c>
    </row>
    <row r="5">
      <c r="A5" s="4" t="n">
        <v>2024</v>
      </c>
      <c r="B5" s="4" t="n">
        <v>4</v>
      </c>
      <c r="C5" s="5" t="inlineStr">
        <is>
          <t>TMPMA2</t>
        </is>
      </c>
      <c r="D5" s="69" t="n">
        <v>59.14</v>
      </c>
      <c r="E5" s="23" t="n">
        <v>17533</v>
      </c>
      <c r="F5" s="5" t="n"/>
      <c r="G5" s="5" t="n"/>
      <c r="H5" s="87">
        <f>Tabelle!F102</f>
        <v/>
      </c>
      <c r="I5" s="5" t="n"/>
      <c r="J5" s="32">
        <f>Tabelle!B102</f>
        <v/>
      </c>
      <c r="K5" s="83">
        <f>Tabelle!G78</f>
        <v/>
      </c>
    </row>
    <row r="6">
      <c r="A6" s="4" t="n">
        <v>2024</v>
      </c>
      <c r="B6" s="4" t="n">
        <v>5</v>
      </c>
      <c r="C6" s="5" t="inlineStr">
        <is>
          <t>TMPMA2</t>
        </is>
      </c>
      <c r="D6" s="69" t="n">
        <v>0</v>
      </c>
      <c r="E6" s="23" t="n">
        <v>0</v>
      </c>
      <c r="F6" s="5" t="n"/>
      <c r="G6" s="5" t="n"/>
      <c r="H6" s="87">
        <f>Tabelle!F103</f>
        <v/>
      </c>
      <c r="I6" s="5" t="n"/>
      <c r="J6" s="32">
        <f>Tabelle!B103</f>
        <v/>
      </c>
      <c r="K6" s="83">
        <f>Tabelle!G79</f>
        <v/>
      </c>
    </row>
    <row r="7">
      <c r="A7" s="4" t="n">
        <v>2024</v>
      </c>
      <c r="B7" s="4" t="n">
        <v>6</v>
      </c>
      <c r="C7" s="5" t="inlineStr">
        <is>
          <t>TMPMA2</t>
        </is>
      </c>
      <c r="D7" s="69" t="n">
        <v>23.68</v>
      </c>
      <c r="E7" s="23" t="n">
        <v>8650</v>
      </c>
      <c r="F7" s="5" t="n"/>
      <c r="G7" s="5" t="n"/>
      <c r="H7" s="87">
        <f>Tabelle!F104</f>
        <v/>
      </c>
      <c r="I7" s="5" t="n"/>
      <c r="J7" s="32">
        <f>Tabelle!B104</f>
        <v/>
      </c>
      <c r="K7" s="83">
        <f>Tabelle!G80</f>
        <v/>
      </c>
    </row>
    <row r="8">
      <c r="A8" s="4" t="n">
        <v>2024</v>
      </c>
      <c r="B8" s="4" t="n">
        <v>7</v>
      </c>
      <c r="C8" s="5" t="inlineStr">
        <is>
          <t>TMPMA2</t>
        </is>
      </c>
      <c r="D8" s="69" t="n">
        <v>92.83</v>
      </c>
      <c r="E8" s="23" t="n">
        <v>33000</v>
      </c>
      <c r="F8" s="5" t="n"/>
      <c r="G8" s="5" t="n"/>
      <c r="H8" s="87">
        <f>Tabelle!F105</f>
        <v/>
      </c>
      <c r="I8" s="5" t="n"/>
      <c r="J8" s="32">
        <f>Tabelle!B105</f>
        <v/>
      </c>
      <c r="K8" s="83">
        <f>Tabelle!G81</f>
        <v/>
      </c>
    </row>
    <row r="9">
      <c r="A9" s="4" t="n">
        <v>2024</v>
      </c>
      <c r="B9" s="4" t="n">
        <v>8</v>
      </c>
      <c r="C9" s="5" t="inlineStr">
        <is>
          <t>TMPMA2</t>
        </is>
      </c>
      <c r="D9" s="69" t="n">
        <v>0</v>
      </c>
      <c r="E9" s="23" t="n">
        <v>0</v>
      </c>
      <c r="F9" s="5" t="n"/>
      <c r="G9" s="5" t="n"/>
      <c r="H9" s="87">
        <f>Tabelle!F106</f>
        <v/>
      </c>
      <c r="I9" s="5" t="n"/>
      <c r="J9" s="32">
        <f>Tabelle!B106</f>
        <v/>
      </c>
      <c r="K9" s="83">
        <f>Tabelle!G82</f>
        <v/>
      </c>
    </row>
    <row r="10">
      <c r="A10" s="4" t="n">
        <v>2024</v>
      </c>
      <c r="B10" s="4" t="n">
        <v>9</v>
      </c>
      <c r="C10" s="5" t="inlineStr">
        <is>
          <t>TMPMA2</t>
        </is>
      </c>
      <c r="D10" s="69" t="n">
        <v>20.83</v>
      </c>
      <c r="E10" s="23" t="n">
        <v>4500</v>
      </c>
      <c r="F10" s="5" t="n"/>
      <c r="G10" s="5" t="n"/>
      <c r="H10" s="87">
        <f>Tabelle!F107</f>
        <v/>
      </c>
      <c r="I10" s="5" t="n"/>
      <c r="J10" s="32">
        <f>Tabelle!B107</f>
        <v/>
      </c>
      <c r="K10" s="83">
        <f>Tabelle!G83</f>
        <v/>
      </c>
    </row>
    <row r="11">
      <c r="A11" s="4" t="n">
        <v>2024</v>
      </c>
      <c r="B11" s="4" t="n">
        <v>10</v>
      </c>
      <c r="C11" s="5" t="inlineStr">
        <is>
          <t>TMPMA2</t>
        </is>
      </c>
      <c r="D11" s="69" t="n">
        <v>5.2</v>
      </c>
      <c r="E11" s="24" t="n">
        <v>1970</v>
      </c>
      <c r="F11" s="5" t="n"/>
      <c r="G11" s="5" t="n"/>
      <c r="H11" s="87">
        <f>Tabelle!F108</f>
        <v/>
      </c>
      <c r="I11" s="5" t="n"/>
      <c r="J11" s="32">
        <f>Tabelle!B108</f>
        <v/>
      </c>
      <c r="K11" s="83">
        <f>Tabelle!G84</f>
        <v/>
      </c>
    </row>
    <row r="12">
      <c r="A12" s="4" t="n">
        <v>2024</v>
      </c>
      <c r="B12" s="4" t="n">
        <v>11</v>
      </c>
      <c r="C12" s="5" t="inlineStr">
        <is>
          <t>TMPMA2</t>
        </is>
      </c>
      <c r="D12" s="7" t="n"/>
      <c r="E12" s="23" t="n"/>
      <c r="F12" s="7" t="n"/>
      <c r="G12" s="5" t="n"/>
      <c r="H12" s="87">
        <f>Tabelle!F109</f>
        <v/>
      </c>
      <c r="I12" s="9">
        <f>F12*H12</f>
        <v/>
      </c>
      <c r="J12" s="32">
        <f>Tabelle!B109</f>
        <v/>
      </c>
      <c r="K12" s="83">
        <f>Tabelle!G85</f>
        <v/>
      </c>
    </row>
    <row r="13">
      <c r="A13" s="4" t="n">
        <v>2024</v>
      </c>
      <c r="B13" s="4" t="n">
        <v>12</v>
      </c>
      <c r="C13" s="5" t="inlineStr">
        <is>
          <t>TMPMA2</t>
        </is>
      </c>
      <c r="D13" s="7" t="n"/>
      <c r="E13" s="25" t="n"/>
      <c r="F13" s="7" t="n"/>
      <c r="G13" s="5" t="n"/>
      <c r="H13" s="87">
        <f>Tabelle!F110</f>
        <v/>
      </c>
      <c r="I13" s="9">
        <f>F13*H13</f>
        <v/>
      </c>
      <c r="J13" s="32">
        <f>Tabelle!B110</f>
        <v/>
      </c>
      <c r="K13" s="83">
        <f>Tabelle!G86</f>
        <v/>
      </c>
    </row>
    <row r="14">
      <c r="A14" s="6" t="n">
        <v>2025</v>
      </c>
      <c r="B14" s="6" t="n">
        <v>1</v>
      </c>
      <c r="C14" s="5" t="inlineStr">
        <is>
          <t>TMPMA2</t>
        </is>
      </c>
      <c r="D14" s="7" t="n"/>
      <c r="E14" s="25" t="n"/>
      <c r="F14" s="7" t="n"/>
      <c r="G14" s="5" t="n"/>
      <c r="H14" s="87">
        <f>Tabelle!F111</f>
        <v/>
      </c>
      <c r="I14" s="9">
        <f>F14*H14</f>
        <v/>
      </c>
      <c r="J14" s="32">
        <f>Tabelle!B111</f>
        <v/>
      </c>
      <c r="K14" s="83">
        <f>Tabelle!G87</f>
        <v/>
      </c>
    </row>
    <row r="15">
      <c r="A15" s="6" t="n">
        <v>2025</v>
      </c>
      <c r="B15" s="6" t="n">
        <v>2</v>
      </c>
      <c r="C15" s="5" t="inlineStr">
        <is>
          <t>TMPMA2</t>
        </is>
      </c>
      <c r="D15" s="7" t="n"/>
      <c r="E15" s="25" t="n"/>
      <c r="F15" s="7" t="n"/>
      <c r="G15" s="5" t="n"/>
      <c r="H15" s="87">
        <f>Tabelle!F112</f>
        <v/>
      </c>
      <c r="I15" s="9">
        <f>F15*H15</f>
        <v/>
      </c>
      <c r="J15" s="32">
        <f>Tabelle!B112</f>
        <v/>
      </c>
      <c r="K15" s="83">
        <f>Tabelle!G88</f>
        <v/>
      </c>
    </row>
    <row r="16">
      <c r="A16" s="6" t="n">
        <v>2025</v>
      </c>
      <c r="B16" s="6" t="n">
        <v>3</v>
      </c>
      <c r="C16" s="5" t="inlineStr">
        <is>
          <t>TMPMA2</t>
        </is>
      </c>
      <c r="D16" s="7" t="n"/>
      <c r="E16" s="25" t="n"/>
      <c r="F16" s="7" t="n"/>
      <c r="G16" s="5" t="n"/>
      <c r="H16" s="87">
        <f>Tabelle!F113</f>
        <v/>
      </c>
      <c r="I16" s="9">
        <f>F16*H16</f>
        <v/>
      </c>
      <c r="J16" s="32">
        <f>Tabelle!B113</f>
        <v/>
      </c>
      <c r="K16" s="83">
        <f>Tabelle!G89</f>
        <v/>
      </c>
    </row>
    <row r="17">
      <c r="A17" s="6" t="n">
        <v>2025</v>
      </c>
      <c r="B17" s="6" t="n">
        <v>4</v>
      </c>
      <c r="C17" s="5" t="inlineStr">
        <is>
          <t>TMPMA2</t>
        </is>
      </c>
      <c r="D17" s="7" t="n"/>
      <c r="E17" s="25" t="n"/>
      <c r="F17" s="7" t="n"/>
      <c r="G17" s="5" t="n"/>
      <c r="H17" s="87">
        <f>Tabelle!F114</f>
        <v/>
      </c>
      <c r="I17" s="9">
        <f>F17*H17</f>
        <v/>
      </c>
      <c r="J17" s="32">
        <f>Tabelle!B114</f>
        <v/>
      </c>
      <c r="K17" s="83">
        <f>Tabelle!G90</f>
        <v/>
      </c>
    </row>
    <row r="18">
      <c r="A18" s="6" t="n">
        <v>2025</v>
      </c>
      <c r="B18" s="6" t="n">
        <v>5</v>
      </c>
      <c r="C18" s="5" t="inlineStr">
        <is>
          <t>TMPMA2</t>
        </is>
      </c>
      <c r="D18" s="7" t="n"/>
      <c r="E18" s="25" t="n"/>
      <c r="F18" s="7" t="n"/>
      <c r="G18" s="5" t="n"/>
      <c r="H18" s="87">
        <f>Tabelle!F115</f>
        <v/>
      </c>
      <c r="I18" s="9">
        <f>F18*H18</f>
        <v/>
      </c>
      <c r="J18" s="32">
        <f>Tabelle!B115</f>
        <v/>
      </c>
      <c r="K18" s="83">
        <f>Tabelle!G91</f>
        <v/>
      </c>
    </row>
    <row r="19">
      <c r="A19" s="6" t="n">
        <v>2025</v>
      </c>
      <c r="B19" s="6" t="n">
        <v>6</v>
      </c>
      <c r="C19" s="5" t="inlineStr">
        <is>
          <t>TMPMA2</t>
        </is>
      </c>
      <c r="D19" s="7" t="n"/>
      <c r="E19" s="25" t="n"/>
      <c r="F19" s="7" t="n"/>
      <c r="G19" s="5" t="n"/>
      <c r="H19" s="87">
        <f>Tabelle!F116</f>
        <v/>
      </c>
      <c r="I19" s="9">
        <f>F19*H19</f>
        <v/>
      </c>
      <c r="J19" s="32">
        <f>Tabelle!B116</f>
        <v/>
      </c>
      <c r="K19" s="83">
        <f>Tabelle!G92</f>
        <v/>
      </c>
    </row>
    <row r="20">
      <c r="A20" s="6" t="n">
        <v>2025</v>
      </c>
      <c r="B20" s="6" t="n">
        <v>7</v>
      </c>
      <c r="C20" s="5" t="inlineStr">
        <is>
          <t>TMPMA2</t>
        </is>
      </c>
      <c r="D20" s="7" t="n"/>
      <c r="E20" s="25" t="n"/>
      <c r="F20" s="7" t="n"/>
      <c r="G20" s="5" t="n"/>
      <c r="H20" s="87">
        <f>Tabelle!F117</f>
        <v/>
      </c>
      <c r="I20" s="9">
        <f>F20*H20</f>
        <v/>
      </c>
      <c r="J20" s="32">
        <f>Tabelle!B117</f>
        <v/>
      </c>
      <c r="K20" s="83">
        <f>Tabelle!G93</f>
        <v/>
      </c>
    </row>
    <row r="21">
      <c r="A21" s="6" t="n">
        <v>2025</v>
      </c>
      <c r="B21" s="6" t="n">
        <v>8</v>
      </c>
      <c r="C21" s="5" t="inlineStr">
        <is>
          <t>TMPMA2</t>
        </is>
      </c>
      <c r="D21" s="69" t="n"/>
      <c r="E21" s="23" t="n"/>
      <c r="F21" s="5" t="n"/>
      <c r="G21" s="5" t="n"/>
      <c r="H21" s="87">
        <f>Tabelle!F118</f>
        <v/>
      </c>
      <c r="I21" s="9">
        <f>F21*H21</f>
        <v/>
      </c>
      <c r="J21" s="32">
        <f>Tabelle!B118</f>
        <v/>
      </c>
      <c r="K21" s="83">
        <f>Tabelle!G94</f>
        <v/>
      </c>
    </row>
    <row r="22">
      <c r="A22" s="6" t="n">
        <v>2025</v>
      </c>
      <c r="B22" s="6" t="n">
        <v>9</v>
      </c>
      <c r="C22" s="5" t="inlineStr">
        <is>
          <t>TMPMA2</t>
        </is>
      </c>
      <c r="D22" s="69" t="n">
        <v>0</v>
      </c>
      <c r="E22" s="23" t="n">
        <v>0</v>
      </c>
      <c r="F22" s="5" t="n"/>
      <c r="G22" s="5" t="n"/>
      <c r="H22" s="87">
        <f>Tabelle!F119</f>
        <v/>
      </c>
      <c r="I22" s="5" t="n"/>
      <c r="J22" s="32">
        <f>Tabelle!B119</f>
        <v/>
      </c>
      <c r="K22" s="83">
        <f>Tabelle!G97</f>
        <v/>
      </c>
    </row>
    <row r="23">
      <c r="A23" s="6" t="n">
        <v>2025</v>
      </c>
      <c r="B23" s="6" t="n">
        <v>10</v>
      </c>
      <c r="C23" s="5" t="inlineStr">
        <is>
          <t>TMPMA2</t>
        </is>
      </c>
      <c r="D23" s="69" t="n">
        <v>0</v>
      </c>
      <c r="E23" s="23" t="n">
        <v>0</v>
      </c>
      <c r="F23" s="5" t="n"/>
      <c r="G23" s="5" t="n"/>
      <c r="H23" s="87">
        <f>Tabelle!F120</f>
        <v/>
      </c>
      <c r="I23" s="5" t="n"/>
      <c r="J23" s="32">
        <f>Tabelle!B120</f>
        <v/>
      </c>
      <c r="K23" s="83">
        <f>Tabelle!G98</f>
        <v/>
      </c>
    </row>
    <row r="24">
      <c r="A24" s="6" t="n">
        <v>2025</v>
      </c>
      <c r="B24" s="6" t="n">
        <v>11</v>
      </c>
      <c r="C24" s="5" t="inlineStr">
        <is>
          <t>TMPMA2</t>
        </is>
      </c>
      <c r="D24" s="69" t="n"/>
      <c r="E24" s="23" t="n"/>
      <c r="F24" s="5" t="n"/>
      <c r="G24" s="5" t="n"/>
      <c r="H24" s="87">
        <f>Tabelle!F121</f>
        <v/>
      </c>
      <c r="I24" s="5" t="n"/>
      <c r="J24" s="32">
        <f>Tabelle!B121</f>
        <v/>
      </c>
      <c r="K24" s="83">
        <f>Tabelle!G99</f>
        <v/>
      </c>
    </row>
    <row r="25">
      <c r="A25" s="6" t="n">
        <v>2025</v>
      </c>
      <c r="B25" s="6" t="n">
        <v>12</v>
      </c>
      <c r="C25" s="5" t="inlineStr">
        <is>
          <t>TMPMA2</t>
        </is>
      </c>
      <c r="D25" s="69" t="n"/>
      <c r="E25" s="23" t="n"/>
      <c r="F25" s="5" t="n"/>
      <c r="G25" s="5" t="n"/>
      <c r="H25" s="87">
        <f>Tabelle!F122</f>
        <v/>
      </c>
      <c r="I25" s="5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 codeName="Foglio30">
    <outlinePr summaryBelow="1" summaryRight="1"/>
    <pageSetUpPr/>
  </sheetPr>
  <dimension ref="A1:K25"/>
  <sheetViews>
    <sheetView workbookViewId="0">
      <selection activeCell="D22" sqref="D22:K23"/>
    </sheetView>
  </sheetViews>
  <sheetFormatPr baseColWidth="8" defaultRowHeight="15"/>
  <cols>
    <col width="19.5703125" bestFit="1" customWidth="1" style="74" min="3" max="3"/>
    <col width="23.7109375" bestFit="1" customWidth="1" style="74" min="4" max="4"/>
    <col width="13.42578125" bestFit="1" customWidth="1" style="74" min="5" max="5"/>
    <col width="12.85546875" bestFit="1" customWidth="1" style="74" min="8" max="8"/>
    <col width="14.5703125" bestFit="1" customWidth="1" style="74" min="9" max="9"/>
    <col width="21.28515625" customWidth="1" style="74" min="10" max="10"/>
    <col width="24.140625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TROV</t>
        </is>
      </c>
      <c r="D2" s="32" t="n">
        <v>29.92</v>
      </c>
      <c r="E2" s="32" t="n">
        <v>4000</v>
      </c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TROV</t>
        </is>
      </c>
      <c r="D3" s="32" t="n">
        <v>43</v>
      </c>
      <c r="E3" s="32" t="n">
        <v>51840</v>
      </c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TROV</t>
        </is>
      </c>
      <c r="D4" s="32" t="n">
        <v>171.23</v>
      </c>
      <c r="E4" s="32" t="n">
        <v>45252</v>
      </c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TROV</t>
        </is>
      </c>
      <c r="D5" s="32" t="n">
        <v>196.26</v>
      </c>
      <c r="E5" s="32" t="n">
        <v>92812</v>
      </c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TROV</t>
        </is>
      </c>
      <c r="D6" s="32" t="n">
        <v>172.31</v>
      </c>
      <c r="E6" s="32" t="n">
        <v>116091</v>
      </c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TROV</t>
        </is>
      </c>
      <c r="D7" s="32" t="n">
        <v>77.91</v>
      </c>
      <c r="E7" s="32" t="n">
        <v>53400</v>
      </c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TROV</t>
        </is>
      </c>
      <c r="D8" s="32" t="n">
        <v>148.85</v>
      </c>
      <c r="E8" s="32" t="n">
        <v>62642</v>
      </c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TROV</t>
        </is>
      </c>
      <c r="D9" s="32" t="n">
        <v>111.53</v>
      </c>
      <c r="E9" s="32" t="n">
        <v>68332</v>
      </c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TROV</t>
        </is>
      </c>
      <c r="D10" s="32" t="n">
        <v>43.69</v>
      </c>
      <c r="E10" s="32" t="n">
        <v>23528</v>
      </c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TROV</t>
        </is>
      </c>
      <c r="D11" s="32" t="n">
        <v>91.06</v>
      </c>
      <c r="E11" s="33" t="n">
        <v>52681</v>
      </c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TROV</t>
        </is>
      </c>
      <c r="D12" s="7">
        <f>Tabelle!AB18</f>
        <v/>
      </c>
      <c r="E12" s="32">
        <f>Tabelle!AB32</f>
        <v/>
      </c>
      <c r="F12" s="7">
        <f>Tabelle!AB4</f>
        <v/>
      </c>
      <c r="G12" s="31" t="n"/>
      <c r="H12" s="86">
        <f>Tabelle!F109</f>
        <v/>
      </c>
      <c r="I12" s="34">
        <f>F12*H12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TROV</t>
        </is>
      </c>
      <c r="D13" s="7">
        <f>Tabelle!AB19</f>
        <v/>
      </c>
      <c r="E13" s="32">
        <f>Tabelle!AB33</f>
        <v/>
      </c>
      <c r="F13" s="7">
        <f>Tabelle!AB5</f>
        <v/>
      </c>
      <c r="G13" s="31" t="n"/>
      <c r="H13" s="86">
        <f>Tabelle!F110</f>
        <v/>
      </c>
      <c r="I13" s="34">
        <f>F13*H13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TROV</t>
        </is>
      </c>
      <c r="D14" s="7">
        <f>Tabelle!AB20</f>
        <v/>
      </c>
      <c r="E14" s="32">
        <f>Tabelle!AB34</f>
        <v/>
      </c>
      <c r="F14" s="7">
        <f>Tabelle!AB6</f>
        <v/>
      </c>
      <c r="G14" s="31" t="n"/>
      <c r="H14" s="86">
        <f>Tabelle!F111</f>
        <v/>
      </c>
      <c r="I14" s="34">
        <f>F14*H14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TROV</t>
        </is>
      </c>
      <c r="D15" s="7">
        <f>Tabelle!AB21</f>
        <v/>
      </c>
      <c r="E15" s="32">
        <f>Tabelle!AB35</f>
        <v/>
      </c>
      <c r="F15" s="7">
        <f>Tabelle!AB7</f>
        <v/>
      </c>
      <c r="G15" s="31" t="n"/>
      <c r="H15" s="86">
        <f>Tabelle!F112</f>
        <v/>
      </c>
      <c r="I15" s="34">
        <f>F15*H15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TROV</t>
        </is>
      </c>
      <c r="D16" s="7">
        <f>Tabelle!AB22</f>
        <v/>
      </c>
      <c r="E16" s="32">
        <f>Tabelle!AB36</f>
        <v/>
      </c>
      <c r="F16" s="7">
        <f>Tabelle!AB8</f>
        <v/>
      </c>
      <c r="G16" s="31" t="n"/>
      <c r="H16" s="86">
        <f>Tabelle!F113</f>
        <v/>
      </c>
      <c r="I16" s="34">
        <f>F16*H16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TROV</t>
        </is>
      </c>
      <c r="D17" s="7">
        <f>Tabelle!AB23</f>
        <v/>
      </c>
      <c r="E17" s="32">
        <f>Tabelle!AB37</f>
        <v/>
      </c>
      <c r="F17" s="7">
        <f>Tabelle!AB9</f>
        <v/>
      </c>
      <c r="G17" s="31" t="n"/>
      <c r="H17" s="86">
        <f>Tabelle!F114</f>
        <v/>
      </c>
      <c r="I17" s="34">
        <f>F17*H17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TROV</t>
        </is>
      </c>
      <c r="D18" s="7">
        <f>Tabelle!AB24</f>
        <v/>
      </c>
      <c r="E18" s="32">
        <f>Tabelle!AB38</f>
        <v/>
      </c>
      <c r="F18" s="7">
        <f>Tabelle!AB10</f>
        <v/>
      </c>
      <c r="G18" s="31" t="n"/>
      <c r="H18" s="86">
        <f>Tabelle!F115</f>
        <v/>
      </c>
      <c r="I18" s="34">
        <f>F18*H18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TROV</t>
        </is>
      </c>
      <c r="D19" s="7">
        <f>Tabelle!AB25</f>
        <v/>
      </c>
      <c r="E19" s="32">
        <f>Tabelle!AB39</f>
        <v/>
      </c>
      <c r="F19" s="7">
        <f>Tabelle!AB11</f>
        <v/>
      </c>
      <c r="G19" s="31" t="n"/>
      <c r="H19" s="86">
        <f>Tabelle!F116</f>
        <v/>
      </c>
      <c r="I19" s="34">
        <f>F19*H19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TROV</t>
        </is>
      </c>
      <c r="D20" s="7">
        <f>Tabelle!AB26</f>
        <v/>
      </c>
      <c r="E20" s="32">
        <f>Tabelle!AB40</f>
        <v/>
      </c>
      <c r="F20" s="7">
        <f>Tabelle!AB12</f>
        <v/>
      </c>
      <c r="G20" s="31" t="n"/>
      <c r="H20" s="86">
        <f>Tabelle!F117</f>
        <v/>
      </c>
      <c r="I20" s="34">
        <f>F20*H20</f>
        <v/>
      </c>
      <c r="J20" s="32">
        <f>Tabelle!B117</f>
        <v/>
      </c>
      <c r="K20" s="83">
        <f>Tabelle!G93</f>
        <v/>
      </c>
    </row>
    <row r="21">
      <c r="A21" s="35" t="n">
        <v>2025</v>
      </c>
      <c r="B21" s="35" t="n">
        <v>8</v>
      </c>
      <c r="C21" s="31" t="inlineStr">
        <is>
          <t>TROV</t>
        </is>
      </c>
      <c r="D21" s="7">
        <f>Tabelle!AB27</f>
        <v/>
      </c>
      <c r="E21" s="32">
        <f>Tabelle!AB41</f>
        <v/>
      </c>
      <c r="F21" s="7">
        <f>Tabelle!AB13</f>
        <v/>
      </c>
      <c r="G21" s="31" t="n"/>
      <c r="H21" s="86">
        <f>Tabelle!F118</f>
        <v/>
      </c>
      <c r="I21" s="34">
        <f>F21*H21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TROV</t>
        </is>
      </c>
      <c r="D22" s="7">
        <f>Tabelle!AB28</f>
        <v/>
      </c>
      <c r="E22" s="32">
        <f>Tabelle!AB42</f>
        <v/>
      </c>
      <c r="F22" s="7">
        <f>Tabelle!AB14</f>
        <v/>
      </c>
      <c r="G22" s="31" t="n"/>
      <c r="H22" s="86">
        <f>Tabelle!F119</f>
        <v/>
      </c>
      <c r="I22" s="34">
        <f>F22*H22</f>
        <v/>
      </c>
      <c r="J22" s="32">
        <f>Tabelle!B119</f>
        <v/>
      </c>
      <c r="K22" s="83">
        <f>Tabelle!G97</f>
        <v/>
      </c>
    </row>
    <row r="23">
      <c r="A23" s="35" t="n">
        <v>2025</v>
      </c>
      <c r="B23" s="35" t="n">
        <v>10</v>
      </c>
      <c r="C23" s="31" t="inlineStr">
        <is>
          <t>TROV</t>
        </is>
      </c>
      <c r="D23" s="7">
        <f>Tabelle!AB29</f>
        <v/>
      </c>
      <c r="E23" s="32">
        <f>Tabelle!AB43</f>
        <v/>
      </c>
      <c r="F23" s="7">
        <f>Tabelle!AB15</f>
        <v/>
      </c>
      <c r="G23" s="31" t="n"/>
      <c r="H23" s="86">
        <f>Tabelle!F120</f>
        <v/>
      </c>
      <c r="I23" s="34">
        <f>F23*H23</f>
        <v/>
      </c>
      <c r="J23" s="32">
        <f>Tabelle!B120</f>
        <v/>
      </c>
      <c r="K23" s="83">
        <f>Tabelle!G98</f>
        <v/>
      </c>
    </row>
    <row r="24">
      <c r="A24" s="35" t="n">
        <v>2025</v>
      </c>
      <c r="B24" s="35" t="n">
        <v>11</v>
      </c>
      <c r="C24" s="31" t="inlineStr">
        <is>
          <t>TROV</t>
        </is>
      </c>
      <c r="D24" s="31" t="n"/>
      <c r="E24" s="31" t="n"/>
      <c r="F24" s="31" t="n"/>
      <c r="G24" s="31" t="n"/>
      <c r="H24" s="86">
        <f>Tabelle!F121</f>
        <v/>
      </c>
      <c r="I24" s="34">
        <f>F24*H24</f>
        <v/>
      </c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TROV</t>
        </is>
      </c>
      <c r="D25" s="31" t="n"/>
      <c r="E25" s="31" t="n"/>
      <c r="F25" s="31" t="n"/>
      <c r="G25" s="31" t="n"/>
      <c r="H25" s="86">
        <f>Tabelle!F122</f>
        <v/>
      </c>
      <c r="I25" s="34">
        <f>F25*H25</f>
        <v/>
      </c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 codeName="Foglio31">
    <outlinePr summaryBelow="1" summaryRight="1"/>
    <pageSetUpPr/>
  </sheetPr>
  <dimension ref="A1:L25"/>
  <sheetViews>
    <sheetView workbookViewId="0">
      <selection activeCell="F22" sqref="F22:K23"/>
    </sheetView>
  </sheetViews>
  <sheetFormatPr baseColWidth="8" defaultRowHeight="15"/>
  <cols>
    <col width="19.85546875" bestFit="1" customWidth="1" style="74" min="3" max="3"/>
    <col width="24" bestFit="1" customWidth="1" style="74" min="4" max="4"/>
    <col width="13.42578125" bestFit="1" customWidth="1" style="74" min="5" max="5"/>
    <col width="9.7109375" bestFit="1" customWidth="1" style="74" min="6" max="6"/>
    <col width="14" customWidth="1" style="74" min="7" max="7"/>
    <col width="13.28515625" bestFit="1" customWidth="1" style="74" min="8" max="8"/>
    <col width="15.140625" bestFit="1" customWidth="1" style="74" min="9" max="9"/>
    <col width="19.5703125" bestFit="1" customWidth="1" style="74" min="10" max="10"/>
    <col width="13.85546875" bestFit="1" customWidth="1" style="74" min="11" max="11"/>
  </cols>
  <sheetData>
    <row r="1">
      <c r="A1" s="27" t="inlineStr">
        <is>
          <t xml:space="preserve">anno </t>
        </is>
      </c>
      <c r="B1" s="27" t="inlineStr">
        <is>
          <t xml:space="preserve">mese </t>
        </is>
      </c>
      <c r="C1" s="27" t="inlineStr">
        <is>
          <t>macchina o impianto</t>
        </is>
      </c>
      <c r="D1" s="28" t="inlineStr">
        <is>
          <t>ore produzione macchina</t>
        </is>
      </c>
      <c r="E1" s="28" t="inlineStr">
        <is>
          <t>pezzi prodotti</t>
        </is>
      </c>
      <c r="F1" s="28" t="inlineStr">
        <is>
          <t xml:space="preserve">consumo </t>
        </is>
      </c>
      <c r="G1" s="28" t="inlineStr">
        <is>
          <t xml:space="preserve">lettura </t>
        </is>
      </c>
      <c r="H1" s="28" t="inlineStr">
        <is>
          <t>costo energia</t>
        </is>
      </c>
      <c r="I1" s="28" t="inlineStr">
        <is>
          <t>costo macchina</t>
        </is>
      </c>
      <c r="J1" s="29" t="inlineStr">
        <is>
          <t>consumo da bolletta</t>
        </is>
      </c>
      <c r="K1" s="29" t="inlineStr">
        <is>
          <t>totale bolletta</t>
        </is>
      </c>
    </row>
    <row r="2">
      <c r="A2" s="30" t="n">
        <v>2024</v>
      </c>
      <c r="B2" s="30" t="n">
        <v>1</v>
      </c>
      <c r="C2" s="31" t="inlineStr">
        <is>
          <t>COMPRESSORI</t>
        </is>
      </c>
      <c r="D2" s="32" t="n"/>
      <c r="E2" s="32" t="n"/>
      <c r="F2" s="31" t="n"/>
      <c r="G2" s="31" t="n"/>
      <c r="H2" s="86">
        <f>Tabelle!F99</f>
        <v/>
      </c>
      <c r="I2" s="31" t="n"/>
      <c r="J2" s="32">
        <f>Tabelle!B99</f>
        <v/>
      </c>
      <c r="K2" s="83">
        <f>Tabelle!G75</f>
        <v/>
      </c>
    </row>
    <row r="3">
      <c r="A3" s="30" t="n">
        <v>2024</v>
      </c>
      <c r="B3" s="30" t="n">
        <v>2</v>
      </c>
      <c r="C3" s="31" t="inlineStr">
        <is>
          <t>COMPRESSORI</t>
        </is>
      </c>
      <c r="D3" s="32" t="n"/>
      <c r="E3" s="32" t="n"/>
      <c r="F3" s="31" t="n"/>
      <c r="G3" s="31" t="n"/>
      <c r="H3" s="86">
        <f>Tabelle!F100</f>
        <v/>
      </c>
      <c r="I3" s="31" t="n"/>
      <c r="J3" s="32">
        <f>Tabelle!B100</f>
        <v/>
      </c>
      <c r="K3" s="83">
        <f>Tabelle!G76</f>
        <v/>
      </c>
    </row>
    <row r="4">
      <c r="A4" s="30" t="n">
        <v>2024</v>
      </c>
      <c r="B4" s="30" t="n">
        <v>3</v>
      </c>
      <c r="C4" s="31" t="inlineStr">
        <is>
          <t>COMPRESSORI</t>
        </is>
      </c>
      <c r="D4" s="32" t="n"/>
      <c r="E4" s="32" t="n"/>
      <c r="F4" s="31" t="n"/>
      <c r="G4" s="31" t="n"/>
      <c r="H4" s="86">
        <f>Tabelle!F101</f>
        <v/>
      </c>
      <c r="I4" s="31" t="n"/>
      <c r="J4" s="32">
        <f>Tabelle!B101</f>
        <v/>
      </c>
      <c r="K4" s="83">
        <f>Tabelle!G77</f>
        <v/>
      </c>
    </row>
    <row r="5">
      <c r="A5" s="30" t="n">
        <v>2024</v>
      </c>
      <c r="B5" s="30" t="n">
        <v>4</v>
      </c>
      <c r="C5" s="31" t="inlineStr">
        <is>
          <t>COMPRESSORI</t>
        </is>
      </c>
      <c r="D5" s="32" t="n"/>
      <c r="E5" s="32" t="n"/>
      <c r="F5" s="31" t="n"/>
      <c r="G5" s="31" t="n"/>
      <c r="H5" s="86">
        <f>Tabelle!F102</f>
        <v/>
      </c>
      <c r="I5" s="31" t="n"/>
      <c r="J5" s="32">
        <f>Tabelle!B102</f>
        <v/>
      </c>
      <c r="K5" s="83">
        <f>Tabelle!G78</f>
        <v/>
      </c>
    </row>
    <row r="6">
      <c r="A6" s="30" t="n">
        <v>2024</v>
      </c>
      <c r="B6" s="30" t="n">
        <v>5</v>
      </c>
      <c r="C6" s="31" t="inlineStr">
        <is>
          <t>COMPRESSORI</t>
        </is>
      </c>
      <c r="D6" s="32" t="n"/>
      <c r="E6" s="32" t="n"/>
      <c r="F6" s="31" t="n"/>
      <c r="G6" s="31" t="n"/>
      <c r="H6" s="86">
        <f>Tabelle!F103</f>
        <v/>
      </c>
      <c r="I6" s="31" t="n"/>
      <c r="J6" s="32">
        <f>Tabelle!B103</f>
        <v/>
      </c>
      <c r="K6" s="83">
        <f>Tabelle!G79</f>
        <v/>
      </c>
    </row>
    <row r="7">
      <c r="A7" s="30" t="n">
        <v>2024</v>
      </c>
      <c r="B7" s="30" t="n">
        <v>6</v>
      </c>
      <c r="C7" s="31" t="inlineStr">
        <is>
          <t>COMPRESSORI</t>
        </is>
      </c>
      <c r="D7" s="32" t="n"/>
      <c r="E7" s="32" t="n"/>
      <c r="F7" s="31" t="n"/>
      <c r="G7" s="31" t="n"/>
      <c r="H7" s="86">
        <f>Tabelle!F104</f>
        <v/>
      </c>
      <c r="I7" s="31" t="n"/>
      <c r="J7" s="32">
        <f>Tabelle!B104</f>
        <v/>
      </c>
      <c r="K7" s="83">
        <f>Tabelle!G80</f>
        <v/>
      </c>
    </row>
    <row r="8">
      <c r="A8" s="30" t="n">
        <v>2024</v>
      </c>
      <c r="B8" s="30" t="n">
        <v>7</v>
      </c>
      <c r="C8" s="31" t="inlineStr">
        <is>
          <t>COMPRESSORI</t>
        </is>
      </c>
      <c r="D8" s="32" t="n"/>
      <c r="E8" s="32" t="n"/>
      <c r="F8" s="31" t="n"/>
      <c r="G8" s="31" t="n"/>
      <c r="H8" s="86">
        <f>Tabelle!F105</f>
        <v/>
      </c>
      <c r="I8" s="31" t="n"/>
      <c r="J8" s="32">
        <f>Tabelle!B105</f>
        <v/>
      </c>
      <c r="K8" s="83">
        <f>Tabelle!G81</f>
        <v/>
      </c>
    </row>
    <row r="9">
      <c r="A9" s="30" t="n">
        <v>2024</v>
      </c>
      <c r="B9" s="30" t="n">
        <v>8</v>
      </c>
      <c r="C9" s="31" t="inlineStr">
        <is>
          <t>COMPRESSORI</t>
        </is>
      </c>
      <c r="D9" s="32" t="n"/>
      <c r="E9" s="32" t="n"/>
      <c r="F9" s="31" t="n"/>
      <c r="G9" s="31" t="n"/>
      <c r="H9" s="86">
        <f>Tabelle!F106</f>
        <v/>
      </c>
      <c r="I9" s="31" t="n"/>
      <c r="J9" s="32">
        <f>Tabelle!B106</f>
        <v/>
      </c>
      <c r="K9" s="83">
        <f>Tabelle!G82</f>
        <v/>
      </c>
    </row>
    <row r="10">
      <c r="A10" s="30" t="n">
        <v>2024</v>
      </c>
      <c r="B10" s="30" t="n">
        <v>9</v>
      </c>
      <c r="C10" s="31" t="inlineStr">
        <is>
          <t>COMPRESSORI</t>
        </is>
      </c>
      <c r="D10" s="32" t="n"/>
      <c r="E10" s="32" t="n"/>
      <c r="F10" s="31" t="n"/>
      <c r="G10" s="31" t="n"/>
      <c r="H10" s="86">
        <f>Tabelle!F107</f>
        <v/>
      </c>
      <c r="I10" s="31" t="n"/>
      <c r="J10" s="32">
        <f>Tabelle!B107</f>
        <v/>
      </c>
      <c r="K10" s="83">
        <f>Tabelle!G83</f>
        <v/>
      </c>
    </row>
    <row r="11">
      <c r="A11" s="30" t="n">
        <v>2024</v>
      </c>
      <c r="B11" s="30" t="n">
        <v>10</v>
      </c>
      <c r="C11" s="31" t="inlineStr">
        <is>
          <t>COMPRESSORI</t>
        </is>
      </c>
      <c r="D11" s="32" t="n"/>
      <c r="E11" s="33" t="n"/>
      <c r="F11" s="31" t="n"/>
      <c r="G11" s="31" t="n"/>
      <c r="H11" s="86">
        <f>Tabelle!F108</f>
        <v/>
      </c>
      <c r="I11" s="31" t="n"/>
      <c r="J11" s="32">
        <f>Tabelle!B108</f>
        <v/>
      </c>
      <c r="K11" s="83">
        <f>Tabelle!G84</f>
        <v/>
      </c>
    </row>
    <row r="12">
      <c r="A12" s="30" t="n">
        <v>2024</v>
      </c>
      <c r="B12" s="30" t="n">
        <v>11</v>
      </c>
      <c r="C12" s="31" t="inlineStr">
        <is>
          <t>COMPRESSORI</t>
        </is>
      </c>
      <c r="D12" s="7" t="n"/>
      <c r="E12" s="32" t="n"/>
      <c r="F12" s="25" t="n">
        <v>10989.38</v>
      </c>
      <c r="G12" s="70" t="n">
        <v>10989.38</v>
      </c>
      <c r="H12" s="86">
        <f>Tabelle!F109</f>
        <v/>
      </c>
      <c r="I12" s="34">
        <f>G12*H12</f>
        <v/>
      </c>
      <c r="J12" s="32">
        <f>Tabelle!B109</f>
        <v/>
      </c>
      <c r="K12" s="83">
        <f>Tabelle!G85</f>
        <v/>
      </c>
    </row>
    <row r="13">
      <c r="A13" s="30" t="n">
        <v>2024</v>
      </c>
      <c r="B13" s="30" t="n">
        <v>12</v>
      </c>
      <c r="C13" s="31" t="inlineStr">
        <is>
          <t>COMPRESSORI</t>
        </is>
      </c>
      <c r="D13" s="7" t="n"/>
      <c r="E13" s="32" t="n"/>
      <c r="F13" s="25" t="n">
        <v>8629.26</v>
      </c>
      <c r="G13" s="70" t="n">
        <v>8629.26</v>
      </c>
      <c r="H13" s="86">
        <f>Tabelle!F110</f>
        <v/>
      </c>
      <c r="I13" s="34">
        <f>G13*H13</f>
        <v/>
      </c>
      <c r="J13" s="32">
        <f>Tabelle!B110</f>
        <v/>
      </c>
      <c r="K13" s="83">
        <f>Tabelle!G86</f>
        <v/>
      </c>
    </row>
    <row r="14">
      <c r="A14" s="35" t="n">
        <v>2025</v>
      </c>
      <c r="B14" s="35" t="n">
        <v>1</v>
      </c>
      <c r="C14" s="31" t="inlineStr">
        <is>
          <t>COMPRESSORI</t>
        </is>
      </c>
      <c r="D14" s="7" t="n"/>
      <c r="E14" s="32" t="n"/>
      <c r="F14" s="25" t="n">
        <v>8829.129999999999</v>
      </c>
      <c r="G14" s="70" t="n">
        <v>8829.129999999999</v>
      </c>
      <c r="H14" s="86">
        <f>Tabelle!F111</f>
        <v/>
      </c>
      <c r="I14" s="34">
        <f>G14*H14</f>
        <v/>
      </c>
      <c r="J14" s="32">
        <f>Tabelle!B111</f>
        <v/>
      </c>
      <c r="K14" s="83">
        <f>Tabelle!G87</f>
        <v/>
      </c>
    </row>
    <row r="15">
      <c r="A15" s="35" t="n">
        <v>2025</v>
      </c>
      <c r="B15" s="35" t="n">
        <v>2</v>
      </c>
      <c r="C15" s="31" t="inlineStr">
        <is>
          <t>COMPRESSORI</t>
        </is>
      </c>
      <c r="D15" s="7" t="n"/>
      <c r="E15" s="32" t="n"/>
      <c r="F15" s="25" t="n">
        <v>9123.83</v>
      </c>
      <c r="G15" s="70" t="n">
        <v>9123.83</v>
      </c>
      <c r="H15" s="86">
        <f>Tabelle!F112</f>
        <v/>
      </c>
      <c r="I15" s="34">
        <f>G15*H15</f>
        <v/>
      </c>
      <c r="J15" s="32">
        <f>Tabelle!B112</f>
        <v/>
      </c>
      <c r="K15" s="83">
        <f>Tabelle!G88</f>
        <v/>
      </c>
    </row>
    <row r="16">
      <c r="A16" s="35" t="n">
        <v>2025</v>
      </c>
      <c r="B16" s="35" t="n">
        <v>3</v>
      </c>
      <c r="C16" s="31" t="inlineStr">
        <is>
          <t>COMPRESSORI</t>
        </is>
      </c>
      <c r="D16" s="7" t="n"/>
      <c r="E16" s="32" t="n"/>
      <c r="F16" s="25" t="n">
        <v>10190.92</v>
      </c>
      <c r="G16" s="70" t="n">
        <v>10190.92</v>
      </c>
      <c r="H16" s="86">
        <f>Tabelle!F113</f>
        <v/>
      </c>
      <c r="I16" s="34">
        <f>G16*H16</f>
        <v/>
      </c>
      <c r="J16" s="32">
        <f>Tabelle!B113</f>
        <v/>
      </c>
      <c r="K16" s="83">
        <f>Tabelle!G89</f>
        <v/>
      </c>
    </row>
    <row r="17">
      <c r="A17" s="35" t="n">
        <v>2025</v>
      </c>
      <c r="B17" s="35" t="n">
        <v>4</v>
      </c>
      <c r="C17" s="31" t="inlineStr">
        <is>
          <t>COMPRESSORI</t>
        </is>
      </c>
      <c r="D17" s="7" t="n"/>
      <c r="E17" s="32" t="n"/>
      <c r="F17" s="25" t="n">
        <v>8605.77</v>
      </c>
      <c r="G17" s="70" t="n">
        <v>8605.77</v>
      </c>
      <c r="H17" s="86">
        <f>Tabelle!F114</f>
        <v/>
      </c>
      <c r="I17" s="34">
        <f>G17*H17</f>
        <v/>
      </c>
      <c r="J17" s="32">
        <f>Tabelle!B114</f>
        <v/>
      </c>
      <c r="K17" s="83">
        <f>Tabelle!G90</f>
        <v/>
      </c>
    </row>
    <row r="18">
      <c r="A18" s="35" t="n">
        <v>2025</v>
      </c>
      <c r="B18" s="35" t="n">
        <v>5</v>
      </c>
      <c r="C18" s="31" t="inlineStr">
        <is>
          <t>COMPRESSORI</t>
        </is>
      </c>
      <c r="D18" s="7" t="n"/>
      <c r="E18" s="32" t="n"/>
      <c r="F18" s="25" t="n">
        <v>5978.01</v>
      </c>
      <c r="G18" s="70" t="n">
        <v>5978.01</v>
      </c>
      <c r="H18" s="86">
        <f>Tabelle!F115</f>
        <v/>
      </c>
      <c r="I18" s="34">
        <f>G18*H18</f>
        <v/>
      </c>
      <c r="J18" s="32">
        <f>Tabelle!B115</f>
        <v/>
      </c>
      <c r="K18" s="83">
        <f>Tabelle!G91</f>
        <v/>
      </c>
    </row>
    <row r="19">
      <c r="A19" s="35" t="n">
        <v>2025</v>
      </c>
      <c r="B19" s="35" t="n">
        <v>6</v>
      </c>
      <c r="C19" s="31" t="inlineStr">
        <is>
          <t>COMPRESSORI</t>
        </is>
      </c>
      <c r="D19" s="7" t="n"/>
      <c r="E19" s="32" t="n"/>
      <c r="F19" s="25" t="n">
        <v>6205.54</v>
      </c>
      <c r="G19" s="70" t="n">
        <v>6205.54</v>
      </c>
      <c r="H19" s="86">
        <f>Tabelle!F116</f>
        <v/>
      </c>
      <c r="I19" s="34">
        <f>G19*H19</f>
        <v/>
      </c>
      <c r="J19" s="32">
        <f>Tabelle!B116</f>
        <v/>
      </c>
      <c r="K19" s="83">
        <f>Tabelle!G92</f>
        <v/>
      </c>
    </row>
    <row r="20">
      <c r="A20" s="35" t="n">
        <v>2025</v>
      </c>
      <c r="B20" s="35" t="n">
        <v>7</v>
      </c>
      <c r="C20" s="31" t="inlineStr">
        <is>
          <t>COMPRESSORI</t>
        </is>
      </c>
      <c r="D20" s="7" t="n"/>
      <c r="E20" s="32" t="n"/>
      <c r="F20" s="25" t="n">
        <v>6000</v>
      </c>
      <c r="G20" s="70" t="n">
        <v>6000</v>
      </c>
      <c r="H20" s="86">
        <f>Tabelle!F117</f>
        <v/>
      </c>
      <c r="I20" s="34">
        <f>G20*H20</f>
        <v/>
      </c>
      <c r="J20" s="32">
        <f>Tabelle!B117</f>
        <v/>
      </c>
      <c r="K20" s="83">
        <f>Tabelle!G93</f>
        <v/>
      </c>
      <c r="L20" t="inlineStr">
        <is>
          <t>stima</t>
        </is>
      </c>
    </row>
    <row r="21">
      <c r="A21" s="35" t="n">
        <v>2025</v>
      </c>
      <c r="B21" s="35" t="n">
        <v>8</v>
      </c>
      <c r="C21" s="31" t="inlineStr">
        <is>
          <t>COMPRESSORI</t>
        </is>
      </c>
      <c r="D21" s="31" t="n"/>
      <c r="E21" s="31" t="n"/>
      <c r="F21" s="32" t="n">
        <v>6000</v>
      </c>
      <c r="G21" s="70" t="n">
        <v>6000</v>
      </c>
      <c r="H21" s="86">
        <f>Tabelle!F118</f>
        <v/>
      </c>
      <c r="I21" s="31">
        <f>G21*H21</f>
        <v/>
      </c>
      <c r="J21" s="32">
        <f>Tabelle!B118</f>
        <v/>
      </c>
      <c r="K21" s="83">
        <f>Tabelle!G94</f>
        <v/>
      </c>
    </row>
    <row r="22">
      <c r="A22" s="35" t="n">
        <v>2025</v>
      </c>
      <c r="B22" s="35" t="n">
        <v>9</v>
      </c>
      <c r="C22" s="31" t="inlineStr">
        <is>
          <t>COMPRESSORI</t>
        </is>
      </c>
      <c r="D22" s="31" t="n"/>
      <c r="E22" s="31" t="n"/>
      <c r="F22" s="32" t="n">
        <v>6000</v>
      </c>
      <c r="G22" s="70" t="n">
        <v>6000</v>
      </c>
      <c r="H22" s="86">
        <f>Tabelle!F119</f>
        <v/>
      </c>
      <c r="I22" s="31">
        <f>G22*H22</f>
        <v/>
      </c>
      <c r="J22" s="32">
        <f>Tabelle!B119</f>
        <v/>
      </c>
      <c r="K22" s="83">
        <f>Tabelle!G97</f>
        <v/>
      </c>
    </row>
    <row r="23">
      <c r="A23" s="35" t="n">
        <v>2025</v>
      </c>
      <c r="B23" s="35" t="n">
        <v>10</v>
      </c>
      <c r="C23" s="31" t="inlineStr">
        <is>
          <t>COMPRESSORI</t>
        </is>
      </c>
      <c r="D23" s="31" t="n"/>
      <c r="E23" s="31" t="n"/>
      <c r="F23" s="32" t="n">
        <v>6000</v>
      </c>
      <c r="G23" s="70" t="n">
        <v>6000</v>
      </c>
      <c r="H23" s="86">
        <f>Tabelle!F120</f>
        <v/>
      </c>
      <c r="I23" s="31">
        <f>G23*H23</f>
        <v/>
      </c>
      <c r="J23" s="32">
        <f>Tabelle!B120</f>
        <v/>
      </c>
      <c r="K23" s="83">
        <f>Tabelle!G98</f>
        <v/>
      </c>
    </row>
    <row r="24">
      <c r="A24" s="35" t="n">
        <v>2025</v>
      </c>
      <c r="B24" s="35" t="n">
        <v>11</v>
      </c>
      <c r="C24" s="31" t="inlineStr">
        <is>
          <t>COMPRESSORI</t>
        </is>
      </c>
      <c r="D24" s="31" t="n"/>
      <c r="E24" s="31" t="n"/>
      <c r="F24" s="32" t="n"/>
      <c r="G24" s="70" t="n"/>
      <c r="H24" s="86">
        <f>Tabelle!F121</f>
        <v/>
      </c>
      <c r="I24" s="31" t="n"/>
      <c r="J24" s="32">
        <f>Tabelle!B121</f>
        <v/>
      </c>
      <c r="K24" s="83">
        <f>Tabelle!G99</f>
        <v/>
      </c>
    </row>
    <row r="25">
      <c r="A25" s="35" t="n">
        <v>2025</v>
      </c>
      <c r="B25" s="35" t="n">
        <v>12</v>
      </c>
      <c r="C25" s="31" t="inlineStr">
        <is>
          <t>COMPRESSORI</t>
        </is>
      </c>
      <c r="D25" s="31" t="n"/>
      <c r="E25" s="31" t="n"/>
      <c r="F25" s="32" t="n"/>
      <c r="G25" s="70" t="n"/>
      <c r="H25" s="86">
        <f>Tabelle!F122</f>
        <v/>
      </c>
      <c r="I25" s="31" t="n"/>
      <c r="J25" s="32">
        <f>Tabelle!B122</f>
        <v/>
      </c>
      <c r="K25" s="83">
        <f>Tabelle!G100</f>
        <v/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 codeName="Foglio32">
    <outlinePr summaryBelow="1" summaryRight="1"/>
    <pageSetUpPr/>
  </sheetPr>
  <dimension ref="A1:AG141"/>
  <sheetViews>
    <sheetView tabSelected="1" topLeftCell="A15" workbookViewId="0">
      <selection activeCell="B18" sqref="B18"/>
    </sheetView>
  </sheetViews>
  <sheetFormatPr baseColWidth="8" defaultRowHeight="14.25" customHeight="1"/>
  <cols>
    <col width="35.7109375" customWidth="1" style="74" min="1" max="1"/>
    <col width="10.28515625" customWidth="1" style="74" min="2" max="6"/>
    <col width="11.140625" customWidth="1" style="74" min="7" max="7"/>
    <col width="10.28515625" customWidth="1" style="74" min="8" max="28"/>
  </cols>
  <sheetData>
    <row r="1" ht="28.5" customHeight="1" s="74">
      <c r="A1" s="13" t="inlineStr">
        <is>
          <t>ENERGIA VETRONAVIGLIO</t>
        </is>
      </c>
    </row>
    <row r="2" ht="14.25" customHeight="1" s="74">
      <c r="A2" s="14" t="n"/>
      <c r="AC2" s="14" t="n"/>
      <c r="AD2" s="14" t="n"/>
      <c r="AE2" s="14" t="n"/>
      <c r="AF2" s="14" t="n"/>
      <c r="AG2" s="14" t="n"/>
    </row>
    <row r="3" ht="14.25" customHeight="1" s="74">
      <c r="A3" s="58" t="inlineStr">
        <is>
          <t>CONSUMO kWh Macchina Vetronaviglio</t>
        </is>
      </c>
      <c r="B3" s="56" t="inlineStr">
        <is>
          <t>F01</t>
        </is>
      </c>
      <c r="C3" s="56" t="inlineStr">
        <is>
          <t>F02</t>
        </is>
      </c>
      <c r="D3" s="56" t="inlineStr">
        <is>
          <t>F03</t>
        </is>
      </c>
      <c r="E3" s="56" t="inlineStr">
        <is>
          <t>F04</t>
        </is>
      </c>
      <c r="F3" s="56" t="inlineStr">
        <is>
          <t>F05</t>
        </is>
      </c>
      <c r="G3" s="56" t="inlineStr">
        <is>
          <t>F06</t>
        </is>
      </c>
      <c r="H3" s="56" t="inlineStr">
        <is>
          <t>F07</t>
        </is>
      </c>
      <c r="I3" s="56" t="inlineStr">
        <is>
          <t>F08</t>
        </is>
      </c>
      <c r="J3" s="56" t="inlineStr">
        <is>
          <t>F09</t>
        </is>
      </c>
      <c r="K3" s="56" t="inlineStr">
        <is>
          <t>F10</t>
        </is>
      </c>
      <c r="L3" s="56" t="inlineStr">
        <is>
          <t>F11</t>
        </is>
      </c>
      <c r="M3" s="56" t="inlineStr">
        <is>
          <t>ISOLA1</t>
        </is>
      </c>
      <c r="N3" s="56" t="inlineStr">
        <is>
          <t>M1030</t>
        </is>
      </c>
      <c r="O3" s="56" t="inlineStr">
        <is>
          <t>M1050</t>
        </is>
      </c>
      <c r="P3" s="56" t="inlineStr">
        <is>
          <t>MG5</t>
        </is>
      </c>
      <c r="Q3" s="56" t="inlineStr">
        <is>
          <t>MG6</t>
        </is>
      </c>
      <c r="R3" s="56" t="inlineStr">
        <is>
          <t>MG7</t>
        </is>
      </c>
      <c r="S3" s="56" t="inlineStr">
        <is>
          <t>MG8</t>
        </is>
      </c>
      <c r="T3" s="56" t="inlineStr">
        <is>
          <t>MMAN</t>
        </is>
      </c>
      <c r="U3" s="56" t="inlineStr">
        <is>
          <t>MP1</t>
        </is>
      </c>
      <c r="V3" s="56" t="inlineStr">
        <is>
          <t>MP2</t>
        </is>
      </c>
      <c r="W3" s="56" t="inlineStr">
        <is>
          <t>MP3</t>
        </is>
      </c>
      <c r="X3" s="56" t="inlineStr">
        <is>
          <t>MP4</t>
        </is>
      </c>
      <c r="Y3" s="56" t="inlineStr">
        <is>
          <t>ASS1 SYCMA</t>
        </is>
      </c>
      <c r="Z3" s="56" t="inlineStr">
        <is>
          <t>TMPM2_TMPMI</t>
        </is>
      </c>
      <c r="AA3" s="56" t="inlineStr">
        <is>
          <t>TMPMA1</t>
        </is>
      </c>
      <c r="AB3" s="56" t="inlineStr">
        <is>
          <t>TROV</t>
        </is>
      </c>
      <c r="AC3" s="14" t="n"/>
      <c r="AD3" s="14" t="n"/>
      <c r="AE3" s="14" t="n"/>
      <c r="AF3" s="14" t="n"/>
      <c r="AG3" s="14" t="n"/>
    </row>
    <row r="4" ht="14.25" customHeight="1" s="74">
      <c r="A4" s="55" t="n">
        <v>45597</v>
      </c>
      <c r="B4" s="7" t="n">
        <v>745.92</v>
      </c>
      <c r="C4" s="7" t="n">
        <v>511.15</v>
      </c>
      <c r="D4" s="7" t="n">
        <v>931.3500000000001</v>
      </c>
      <c r="E4" s="7" t="n">
        <v>243.9699999999866</v>
      </c>
      <c r="F4" s="7" t="n">
        <v>1109.48</v>
      </c>
      <c r="G4" s="7" t="n">
        <v>1373.24</v>
      </c>
      <c r="H4" s="7" t="n">
        <v>1496.8</v>
      </c>
      <c r="I4" s="7" t="n">
        <v>835.7699999999999</v>
      </c>
      <c r="J4" s="7" t="n">
        <v>449.71</v>
      </c>
      <c r="K4" s="7" t="n">
        <v>889.11</v>
      </c>
      <c r="L4" s="7" t="n">
        <v>686.8599999999999</v>
      </c>
      <c r="M4" s="7" t="n">
        <v>199.43</v>
      </c>
      <c r="N4" s="7" t="n">
        <v>1682.52</v>
      </c>
      <c r="O4" s="7" t="n">
        <v>1.54</v>
      </c>
      <c r="P4" s="7" t="n">
        <v>300.9600000000028</v>
      </c>
      <c r="Q4" s="7" t="n">
        <v>1071.04</v>
      </c>
      <c r="R4" s="7" t="n">
        <v>934.72</v>
      </c>
      <c r="S4" s="7" t="n">
        <v>466.64</v>
      </c>
      <c r="T4" s="7" t="n">
        <v>1673.1</v>
      </c>
      <c r="U4" s="7" t="n">
        <v>64.75</v>
      </c>
      <c r="V4" s="7" t="n">
        <v>3279.01</v>
      </c>
      <c r="W4" s="7" t="n">
        <v>907.7600000000001</v>
      </c>
      <c r="X4" s="7" t="n">
        <v>366.4899999999999</v>
      </c>
      <c r="Y4" s="7" t="n">
        <v>66.33000000000001</v>
      </c>
      <c r="Z4" s="7" t="n">
        <v>22.83</v>
      </c>
      <c r="AA4" s="7" t="n">
        <v>0.01</v>
      </c>
      <c r="AB4" s="7" t="n">
        <v>534.46</v>
      </c>
      <c r="AC4" s="14" t="n"/>
      <c r="AD4" s="14" t="n"/>
      <c r="AE4" s="14" t="n"/>
      <c r="AF4" s="14" t="n"/>
      <c r="AG4" s="14" t="n"/>
    </row>
    <row r="5" ht="14.25" customHeight="1" s="74">
      <c r="A5" s="55" t="n">
        <v>45627</v>
      </c>
      <c r="B5" s="7" t="n">
        <v>312.1400000000001</v>
      </c>
      <c r="C5" s="7" t="n">
        <v>357.1300000000001</v>
      </c>
      <c r="D5" s="7" t="n">
        <v>138.4599999999998</v>
      </c>
      <c r="E5" s="7" t="n">
        <v>836.2699999999895</v>
      </c>
      <c r="F5" s="7" t="n">
        <v>727.9899999999998</v>
      </c>
      <c r="G5" s="7" t="n">
        <v>597.1499999999999</v>
      </c>
      <c r="H5" s="7" t="n">
        <v>1222.84</v>
      </c>
      <c r="I5" s="7" t="n">
        <v>578.6699999999998</v>
      </c>
      <c r="J5" s="7" t="n">
        <v>164.26</v>
      </c>
      <c r="K5" s="7" t="n">
        <v>289.6500000000001</v>
      </c>
      <c r="L5" s="7" t="n">
        <v>380.23</v>
      </c>
      <c r="M5" s="7" t="n">
        <v>64.59999999999997</v>
      </c>
      <c r="N5" s="7" t="n">
        <v>889.2400000000002</v>
      </c>
      <c r="O5" s="7" t="n">
        <v>1.84</v>
      </c>
      <c r="P5" s="7" t="n">
        <v>602.5</v>
      </c>
      <c r="Q5" s="7" t="n">
        <v>888.6700000000001</v>
      </c>
      <c r="R5" s="7" t="n">
        <v>395.78</v>
      </c>
      <c r="S5" s="7" t="n">
        <v>307.31</v>
      </c>
      <c r="T5" s="7" t="n">
        <v>892.3699999999999</v>
      </c>
      <c r="U5" s="7" t="n">
        <v>36.83</v>
      </c>
      <c r="V5" s="7" t="n">
        <v>837.75</v>
      </c>
      <c r="W5" s="7" t="n">
        <v>499.04</v>
      </c>
      <c r="X5" s="7" t="n">
        <v>1437.77</v>
      </c>
      <c r="Y5" s="7" t="n">
        <v>38.63999999999999</v>
      </c>
      <c r="Z5" s="7" t="n">
        <v>28.35</v>
      </c>
      <c r="AA5" s="7" t="n">
        <v>0</v>
      </c>
      <c r="AB5" s="7" t="n">
        <v>365.86</v>
      </c>
      <c r="AC5" s="14" t="n"/>
      <c r="AD5" s="14" t="n"/>
      <c r="AE5" s="14" t="n"/>
      <c r="AF5" s="14" t="n"/>
      <c r="AG5" s="14" t="n"/>
    </row>
    <row r="6" ht="14.25" customHeight="1" s="74">
      <c r="A6" s="55" t="n">
        <v>45658</v>
      </c>
      <c r="B6" s="7" t="n">
        <v>428.8899999999999</v>
      </c>
      <c r="C6" s="7" t="n">
        <v>502.77</v>
      </c>
      <c r="D6" s="7" t="n">
        <v>562.6800000000001</v>
      </c>
      <c r="E6" s="7" t="n">
        <v>1220.5</v>
      </c>
      <c r="F6" s="7" t="n">
        <v>966.3699999999999</v>
      </c>
      <c r="G6" s="7" t="n">
        <v>824.6600000000003</v>
      </c>
      <c r="H6" s="7" t="n">
        <v>828.5600000000004</v>
      </c>
      <c r="I6" s="7" t="n">
        <v>910.7100000000003</v>
      </c>
      <c r="J6" s="7" t="n">
        <v>135.3</v>
      </c>
      <c r="K6" s="7" t="n">
        <v>580.8799999999999</v>
      </c>
      <c r="L6" s="7" t="n">
        <v>485.73</v>
      </c>
      <c r="M6" s="7" t="n">
        <v>85.99000000000001</v>
      </c>
      <c r="N6" s="7" t="n">
        <v>917.4900000000002</v>
      </c>
      <c r="O6" s="7" t="n">
        <v>0</v>
      </c>
      <c r="P6" s="7" t="n">
        <v>255.7599999999984</v>
      </c>
      <c r="Q6" s="7" t="n">
        <v>1432.46</v>
      </c>
      <c r="R6" s="7" t="n">
        <v>1069.29</v>
      </c>
      <c r="S6" s="7" t="n">
        <v>788.0599999999999</v>
      </c>
      <c r="T6" s="7" t="n">
        <v>1509.09</v>
      </c>
      <c r="U6" s="7" t="n">
        <v>1193.38</v>
      </c>
      <c r="V6" s="7" t="n">
        <v>104.8900000000003</v>
      </c>
      <c r="W6" s="7" t="n">
        <v>432.5099999999998</v>
      </c>
      <c r="X6" s="7" t="n">
        <v>1463.98</v>
      </c>
      <c r="Y6" s="7" t="n">
        <v>55.34</v>
      </c>
      <c r="Z6" s="7" t="n">
        <v>1.740000000000002</v>
      </c>
      <c r="AA6" s="7" t="n">
        <v>0.73</v>
      </c>
      <c r="AB6" s="7" t="n">
        <v>354.55</v>
      </c>
    </row>
    <row r="7" ht="14.25" customHeight="1" s="74">
      <c r="A7" s="55" t="n">
        <v>45689</v>
      </c>
      <c r="B7" s="7" t="n">
        <v>492.7800000000002</v>
      </c>
      <c r="C7" s="7" t="n">
        <v>286.4399999999998</v>
      </c>
      <c r="D7" s="7" t="n">
        <v>838.1299999999999</v>
      </c>
      <c r="E7" s="7" t="n">
        <v>838.9600000000064</v>
      </c>
      <c r="F7" s="7" t="n">
        <v>768.6500000000005</v>
      </c>
      <c r="G7" s="7" t="n">
        <v>747.6799999999998</v>
      </c>
      <c r="H7" s="7" t="n">
        <v>644.7200000000003</v>
      </c>
      <c r="I7" s="7" t="n">
        <v>770.3499999999999</v>
      </c>
      <c r="J7" s="7" t="n">
        <v>341.6400000000001</v>
      </c>
      <c r="K7" s="7" t="n">
        <v>920.21</v>
      </c>
      <c r="L7" s="7" t="n">
        <v>627.3699999999999</v>
      </c>
      <c r="M7" s="7" t="n">
        <v>42.10000000000002</v>
      </c>
      <c r="N7" s="7" t="n">
        <v>810.1000000000004</v>
      </c>
      <c r="O7" s="7" t="n">
        <v>0</v>
      </c>
      <c r="P7" s="7" t="n">
        <v>466.130000000001</v>
      </c>
      <c r="Q7" s="7" t="n">
        <v>1260.74</v>
      </c>
      <c r="R7" s="7" t="n">
        <v>1530.02</v>
      </c>
      <c r="S7" s="7" t="n">
        <v>477.2199999999998</v>
      </c>
      <c r="T7" s="7" t="n">
        <v>2323.88</v>
      </c>
      <c r="U7" s="7" t="n">
        <v>1507.61</v>
      </c>
      <c r="V7" s="7" t="n">
        <v>56.17999999999938</v>
      </c>
      <c r="W7" s="7" t="n">
        <v>47.15000000000009</v>
      </c>
      <c r="X7" s="7" t="n">
        <v>1474.88</v>
      </c>
      <c r="Y7" s="7" t="n">
        <v>64.14000000000001</v>
      </c>
      <c r="Z7" s="7" t="n">
        <v>1.690000000000005</v>
      </c>
      <c r="AA7" s="7" t="n">
        <v>0</v>
      </c>
      <c r="AB7" s="7" t="n">
        <v>478.0400000000002</v>
      </c>
    </row>
    <row r="8" ht="14.25" customHeight="1" s="74">
      <c r="A8" s="55" t="n">
        <v>45717</v>
      </c>
      <c r="B8" s="7" t="n">
        <v>407.3300000000004</v>
      </c>
      <c r="C8" s="7" t="n">
        <v>402.3199999999997</v>
      </c>
      <c r="D8" s="7" t="n">
        <v>740.02</v>
      </c>
      <c r="E8" s="7" t="n">
        <v>1330.610000000001</v>
      </c>
      <c r="F8" s="7" t="n">
        <v>1248.240000000001</v>
      </c>
      <c r="G8" s="7" t="n">
        <v>1177.48</v>
      </c>
      <c r="H8" s="7" t="n">
        <v>1169.04</v>
      </c>
      <c r="I8" s="7" t="n">
        <v>1060.23</v>
      </c>
      <c r="J8" s="7" t="n">
        <v>401.27</v>
      </c>
      <c r="K8" s="7" t="n">
        <v>1017.880000000001</v>
      </c>
      <c r="L8" s="7" t="n">
        <v>650.3400000000001</v>
      </c>
      <c r="M8" s="7" t="n">
        <v>112.05</v>
      </c>
      <c r="N8" s="7" t="n">
        <v>1276.28</v>
      </c>
      <c r="O8" s="7" t="n">
        <v>0</v>
      </c>
      <c r="P8" s="7" t="n">
        <v>325.2200000000012</v>
      </c>
      <c r="Q8" s="7" t="n">
        <v>1940.01</v>
      </c>
      <c r="R8" s="7" t="n">
        <v>299.3999999999996</v>
      </c>
      <c r="S8" s="7" t="n">
        <v>934.2599999999998</v>
      </c>
      <c r="T8" s="7" t="n">
        <v>1366.179999999999</v>
      </c>
      <c r="U8" s="7" t="n">
        <v>0</v>
      </c>
      <c r="V8" s="7" t="n">
        <v>0.8699999999998909</v>
      </c>
      <c r="W8" s="7" t="n">
        <v>2041.06</v>
      </c>
      <c r="X8" s="7" t="n">
        <v>2375.759999999999</v>
      </c>
      <c r="Y8" s="7" t="n">
        <v>52.56999999999999</v>
      </c>
      <c r="Z8" s="7" t="n">
        <v>2.699999999999996</v>
      </c>
      <c r="AA8" s="7" t="n">
        <v>0</v>
      </c>
      <c r="AB8" s="7" t="n">
        <v>491.0700000000002</v>
      </c>
    </row>
    <row r="9" ht="14.25" customHeight="1" s="74">
      <c r="A9" s="55" t="n">
        <v>45748</v>
      </c>
      <c r="B9" s="7" t="n">
        <v>339.1799999999998</v>
      </c>
      <c r="C9" s="7" t="n">
        <v>398.6900000000001</v>
      </c>
      <c r="D9" s="7" t="n">
        <v>742.4700000000003</v>
      </c>
      <c r="E9" s="7" t="n">
        <v>566.8899999999994</v>
      </c>
      <c r="F9" s="7" t="n">
        <v>1022.11</v>
      </c>
      <c r="G9" s="7" t="n">
        <v>728.7800000000007</v>
      </c>
      <c r="H9" s="7" t="n">
        <v>911.7599999999993</v>
      </c>
      <c r="I9" s="7" t="n">
        <v>824.3100000000004</v>
      </c>
      <c r="J9" s="7" t="n">
        <v>375.3900000000001</v>
      </c>
      <c r="K9" s="7" t="n">
        <v>1182.44</v>
      </c>
      <c r="L9" s="7" t="n">
        <v>598.4299999999998</v>
      </c>
      <c r="M9" s="7" t="n">
        <v>123.66</v>
      </c>
      <c r="N9" s="7" t="n">
        <v>1183.17</v>
      </c>
      <c r="O9" s="7" t="n">
        <v>25.71</v>
      </c>
      <c r="P9" s="7" t="n">
        <v>83.38999999999942</v>
      </c>
      <c r="Q9" s="7" t="n">
        <v>1086.83</v>
      </c>
      <c r="R9" s="7" t="n">
        <v>83.36999999999989</v>
      </c>
      <c r="S9" s="7" t="n">
        <v>233.3600000000001</v>
      </c>
      <c r="T9" s="7" t="n">
        <v>831.130000000001</v>
      </c>
      <c r="U9" s="7" t="n">
        <v>0</v>
      </c>
      <c r="V9" s="7" t="n">
        <v>1078.5</v>
      </c>
      <c r="W9" s="7" t="n">
        <v>1771.95</v>
      </c>
      <c r="X9" s="7" t="n">
        <v>1423.970000000001</v>
      </c>
      <c r="Y9" s="7" t="n">
        <v>35.26999999999998</v>
      </c>
      <c r="Z9" s="7" t="n">
        <v>16.48</v>
      </c>
      <c r="AA9" s="7" t="n">
        <v>0</v>
      </c>
      <c r="AB9" s="7" t="n">
        <v>526.9799999999996</v>
      </c>
    </row>
    <row r="10" ht="14.25" customHeight="1" s="74">
      <c r="A10" s="55" t="n">
        <v>45778</v>
      </c>
      <c r="B10" s="7" t="n">
        <v>253.4699999999998</v>
      </c>
      <c r="C10" s="7" t="n">
        <v>66.40000000000009</v>
      </c>
      <c r="D10" s="7" t="n">
        <v>78.84999999999945</v>
      </c>
      <c r="E10" s="7" t="n">
        <v>460.4599999999919</v>
      </c>
      <c r="F10" s="7" t="n">
        <v>1035.31</v>
      </c>
      <c r="G10" s="7" t="n">
        <v>1032.12</v>
      </c>
      <c r="H10" s="7" t="n">
        <v>341.7400000000007</v>
      </c>
      <c r="I10" s="7" t="n">
        <v>586.4800000000005</v>
      </c>
      <c r="J10" s="7" t="n">
        <v>23.59999999999991</v>
      </c>
      <c r="K10" s="7" t="n">
        <v>610.5299999999997</v>
      </c>
      <c r="L10" s="7" t="n">
        <v>484.7900000000004</v>
      </c>
      <c r="M10" s="7" t="n">
        <v>47.17999999999995</v>
      </c>
      <c r="N10" s="7" t="n">
        <v>668.7000000000007</v>
      </c>
      <c r="O10" s="7" t="n">
        <v>18.31</v>
      </c>
      <c r="P10" s="7" t="n">
        <v>382.1100000000006</v>
      </c>
      <c r="Q10" s="7" t="n">
        <v>923.1599999999999</v>
      </c>
      <c r="R10" s="7" t="n">
        <v>64.69999999999982</v>
      </c>
      <c r="S10" s="7" t="n">
        <v>470.6700000000001</v>
      </c>
      <c r="T10" s="7" t="n">
        <v>320.4099999999999</v>
      </c>
      <c r="U10" s="7" t="n">
        <v>0</v>
      </c>
      <c r="V10" s="7" t="n">
        <v>0</v>
      </c>
      <c r="W10" s="7" t="n">
        <v>1398.26</v>
      </c>
      <c r="X10" s="7" t="n">
        <v>0</v>
      </c>
      <c r="Y10" s="7" t="n">
        <v>36.75999999999999</v>
      </c>
      <c r="Z10" s="7" t="n">
        <v>7</v>
      </c>
      <c r="AA10" s="7" t="n">
        <v>0</v>
      </c>
      <c r="AB10" s="7" t="n">
        <v>288.9400000000001</v>
      </c>
    </row>
    <row r="11" ht="14.25" customHeight="1" s="74">
      <c r="A11" s="55" t="n">
        <v>45809</v>
      </c>
      <c r="B11" s="7" t="n">
        <v>97.44000000000005</v>
      </c>
      <c r="C11" s="7" t="n">
        <v>146.0300000000002</v>
      </c>
      <c r="D11" s="7" t="n">
        <v>99.57000000000062</v>
      </c>
      <c r="E11" s="7" t="n">
        <v>1011.510000000009</v>
      </c>
      <c r="F11" s="7" t="n">
        <v>658.1899999999987</v>
      </c>
      <c r="G11" s="7" t="n">
        <v>551.6099999999997</v>
      </c>
      <c r="H11" s="7" t="n">
        <v>711.0299999999997</v>
      </c>
      <c r="I11" s="7" t="n">
        <v>840.0599999999995</v>
      </c>
      <c r="J11" s="7" t="n">
        <v>159.25</v>
      </c>
      <c r="K11" s="7" t="n">
        <v>132.4800000000005</v>
      </c>
      <c r="L11" s="7" t="n">
        <v>550.0799999999999</v>
      </c>
      <c r="M11" s="7" t="n">
        <v>62.42000000000007</v>
      </c>
      <c r="N11" s="7" t="n">
        <v>938.4699999999993</v>
      </c>
      <c r="O11" s="7" t="n">
        <v>0</v>
      </c>
      <c r="P11" s="7" t="n">
        <v>583.3600000000006</v>
      </c>
      <c r="Q11" s="7" t="n">
        <v>1403.140000000001</v>
      </c>
      <c r="R11" s="7" t="n">
        <v>42.13000000000011</v>
      </c>
      <c r="S11" s="7" t="n">
        <v>217.3200000000002</v>
      </c>
      <c r="T11" s="7" t="n">
        <v>473.1800000000003</v>
      </c>
      <c r="U11" s="7" t="n">
        <v>0</v>
      </c>
      <c r="V11" s="7" t="n">
        <v>825.5800000000008</v>
      </c>
      <c r="W11" s="7" t="n">
        <v>0</v>
      </c>
      <c r="X11" s="7" t="n">
        <v>0</v>
      </c>
      <c r="Y11" s="7" t="n">
        <v>0</v>
      </c>
      <c r="Z11" s="7" t="n">
        <v>1.640000000000001</v>
      </c>
      <c r="AA11" s="7" t="n">
        <v>0</v>
      </c>
      <c r="AB11" s="7" t="n">
        <v>72.51999999999998</v>
      </c>
    </row>
    <row r="12" ht="14.25" customHeight="1" s="74">
      <c r="A12" s="55" t="n">
        <v>45839</v>
      </c>
      <c r="B12" s="7" t="n">
        <v>448.6000000000004</v>
      </c>
      <c r="C12" s="7" t="n">
        <v>538.77</v>
      </c>
      <c r="D12" s="7" t="n">
        <v>622.5300000000007</v>
      </c>
      <c r="E12" s="7" t="n">
        <v>1784</v>
      </c>
      <c r="F12" s="7" t="n">
        <v>1172.1</v>
      </c>
      <c r="G12" s="7" t="n">
        <v>446.96</v>
      </c>
      <c r="H12" s="7" t="n">
        <v>601.3400000000001</v>
      </c>
      <c r="I12" s="7" t="n">
        <v>1044.72</v>
      </c>
      <c r="J12" s="7" t="n">
        <v>262.4200000000001</v>
      </c>
      <c r="K12" s="7" t="n">
        <v>905.0299999999997</v>
      </c>
      <c r="L12" s="7" t="n">
        <v>770.29</v>
      </c>
      <c r="M12" s="7" t="n">
        <v>249.2800000000001</v>
      </c>
      <c r="N12" s="7" t="n">
        <v>906.3200000000015</v>
      </c>
      <c r="O12" s="7" t="n">
        <v>0</v>
      </c>
      <c r="P12" s="7" t="n">
        <v>296.8300000000017</v>
      </c>
      <c r="Q12" s="7" t="n">
        <v>1518.73</v>
      </c>
      <c r="R12" s="7" t="n">
        <v>53.39999999999964</v>
      </c>
      <c r="S12" s="7" t="n">
        <v>618.5500000000002</v>
      </c>
      <c r="T12" s="7" t="n">
        <v>27.59000000000015</v>
      </c>
      <c r="U12" s="7" t="n">
        <v>0</v>
      </c>
      <c r="V12" s="7" t="n">
        <v>1413.66</v>
      </c>
      <c r="W12" s="7" t="n">
        <v>0</v>
      </c>
      <c r="X12" s="7" t="n">
        <v>0</v>
      </c>
      <c r="Y12" s="7" t="n">
        <v>0</v>
      </c>
      <c r="Z12" s="7" t="n">
        <v>2.070000000000007</v>
      </c>
      <c r="AA12" s="7" t="n">
        <v>40.43</v>
      </c>
      <c r="AB12" s="7" t="n">
        <v>45.5300000000002</v>
      </c>
    </row>
    <row r="13" ht="14.25" customHeight="1" s="74">
      <c r="A13" s="55" t="n">
        <v>45870</v>
      </c>
      <c r="B13" s="7" t="n">
        <v>4.049999999999727</v>
      </c>
      <c r="C13" s="7" t="n">
        <v>163.1999999999998</v>
      </c>
      <c r="D13" s="7" t="n">
        <v>24.92999999999938</v>
      </c>
      <c r="E13" s="7" t="n">
        <v>363.2899999999936</v>
      </c>
      <c r="F13" s="7" t="n">
        <v>211.5799999999999</v>
      </c>
      <c r="G13" s="7" t="n">
        <v>113.3600000000006</v>
      </c>
      <c r="H13" s="7" t="n">
        <v>238.8500000000004</v>
      </c>
      <c r="I13" s="7" t="n">
        <v>7.179999999999382</v>
      </c>
      <c r="J13" s="7" t="n">
        <v>76.19000000000005</v>
      </c>
      <c r="K13" s="7" t="n">
        <v>8.820000000000618</v>
      </c>
      <c r="L13" s="7" t="n">
        <v>110.5700000000006</v>
      </c>
      <c r="M13" s="7" t="n">
        <v>4.5</v>
      </c>
      <c r="N13" s="7" t="n">
        <v>224.4799999999996</v>
      </c>
      <c r="O13" s="7" t="n">
        <v>0</v>
      </c>
      <c r="P13" s="7" t="n">
        <v>152.7900000000009</v>
      </c>
      <c r="Q13" s="7" t="n">
        <v>697.3500000000004</v>
      </c>
      <c r="R13" s="7" t="n">
        <v>19.63000000000011</v>
      </c>
      <c r="S13" s="7" t="n">
        <v>312.6599999999999</v>
      </c>
      <c r="T13" s="7" t="n">
        <v>130.5300000000007</v>
      </c>
      <c r="U13" s="7" t="n">
        <v>0</v>
      </c>
      <c r="V13" s="7" t="n">
        <v>0</v>
      </c>
      <c r="W13" s="7" t="n">
        <v>0</v>
      </c>
      <c r="X13" s="7" t="n">
        <v>0</v>
      </c>
      <c r="Y13" s="7" t="n">
        <v>0</v>
      </c>
      <c r="Z13" s="7" t="n">
        <v>0.3599999999999994</v>
      </c>
      <c r="AA13" s="7" t="n">
        <v>6.870000000000005</v>
      </c>
      <c r="AB13" s="7" t="n">
        <v>16.05999999999995</v>
      </c>
    </row>
    <row r="14" ht="14.25" customHeight="1" s="74">
      <c r="A14" s="55" t="n">
        <v>45901</v>
      </c>
      <c r="B14" s="7" t="n">
        <v>179.2200000000003</v>
      </c>
      <c r="C14" s="7" t="n">
        <v>746.3999999999996</v>
      </c>
      <c r="D14" s="7" t="n">
        <v>786.9700000000003</v>
      </c>
      <c r="E14" s="7" t="n">
        <v>752.9199999999983</v>
      </c>
      <c r="F14" s="7" t="n">
        <v>1024.98</v>
      </c>
      <c r="G14" s="7" t="n">
        <v>672.8500000000004</v>
      </c>
      <c r="H14" s="7" t="n">
        <v>1110.879999999999</v>
      </c>
      <c r="I14" s="7" t="n">
        <v>0</v>
      </c>
      <c r="J14" s="7" t="n">
        <v>293.54</v>
      </c>
      <c r="K14" s="7" t="n">
        <v>553.54</v>
      </c>
      <c r="L14" s="7" t="n">
        <v>0</v>
      </c>
      <c r="M14" s="7" t="n">
        <v>3.529999999999973</v>
      </c>
      <c r="N14" s="7" t="n">
        <v>676.0599999999995</v>
      </c>
      <c r="O14" s="7" t="n">
        <v>0</v>
      </c>
      <c r="P14" s="7" t="n">
        <v>450.6599999999999</v>
      </c>
      <c r="Q14" s="7" t="n">
        <v>2729.530000000001</v>
      </c>
      <c r="R14" s="7" t="n">
        <v>533.6899999999996</v>
      </c>
      <c r="S14" s="7" t="n">
        <v>841.5500000000002</v>
      </c>
      <c r="T14" s="7" t="n">
        <v>433.0299999999988</v>
      </c>
      <c r="U14" s="7" t="n">
        <v>0</v>
      </c>
      <c r="V14" s="7" t="n">
        <v>1235.629999999999</v>
      </c>
      <c r="W14" s="7" t="n">
        <v>0</v>
      </c>
      <c r="X14" s="7" t="n">
        <v>0</v>
      </c>
      <c r="Y14" s="7" t="n">
        <v>66.99000000000007</v>
      </c>
      <c r="Z14" s="7" t="n">
        <v>1.539999999999992</v>
      </c>
      <c r="AA14" s="7" t="n">
        <v>21.86</v>
      </c>
      <c r="AB14" s="7" t="n">
        <v>113.23</v>
      </c>
    </row>
    <row r="15" ht="14.25" customHeight="1" s="74">
      <c r="A15" s="55" t="n">
        <v>45931</v>
      </c>
      <c r="B15" s="7" t="n">
        <v>477.6199999999994</v>
      </c>
      <c r="C15" s="7" t="n">
        <v>800.6100000000006</v>
      </c>
      <c r="D15" s="7" t="n">
        <v>401.6500000000005</v>
      </c>
      <c r="E15" s="7" t="n">
        <v>935.3700000000099</v>
      </c>
      <c r="F15" s="7" t="n">
        <v>445.9500000000007</v>
      </c>
      <c r="G15" s="7" t="n">
        <v>897.5299999999988</v>
      </c>
      <c r="H15" s="7" t="n">
        <v>959.7700000000004</v>
      </c>
      <c r="I15" s="7" t="n">
        <v>0</v>
      </c>
      <c r="J15" s="7" t="n">
        <v>39.76999999999998</v>
      </c>
      <c r="K15" s="7" t="n">
        <v>722.6000000000004</v>
      </c>
      <c r="L15" s="7" t="n">
        <v>0</v>
      </c>
      <c r="M15" s="7" t="n">
        <v>0</v>
      </c>
      <c r="N15" s="7" t="n">
        <v>481.5100000000002</v>
      </c>
      <c r="O15" s="7" t="n">
        <v>0</v>
      </c>
      <c r="P15" s="7" t="n">
        <v>433.9199999999983</v>
      </c>
      <c r="Q15" s="7" t="n">
        <v>1593.539999999999</v>
      </c>
      <c r="R15" s="7" t="n">
        <v>1456.08</v>
      </c>
      <c r="S15" s="7" t="n">
        <v>673.0900000000001</v>
      </c>
      <c r="T15" s="7" t="n">
        <v>173.130000000001</v>
      </c>
      <c r="U15" s="7" t="n">
        <v>0</v>
      </c>
      <c r="V15" s="7" t="n">
        <v>2166.34</v>
      </c>
      <c r="W15" s="7" t="n">
        <v>0</v>
      </c>
      <c r="X15" s="7" t="n">
        <v>0</v>
      </c>
      <c r="Y15" s="7" t="n">
        <v>36.41999999999996</v>
      </c>
      <c r="Z15" s="7" t="n">
        <v>2.040000000000006</v>
      </c>
      <c r="AA15" s="7" t="n">
        <v>68.26000000000001</v>
      </c>
      <c r="AB15" s="7" t="n">
        <v>294.7600000000002</v>
      </c>
    </row>
    <row r="16" ht="14.25" customHeight="1" s="74">
      <c r="A16" s="14" t="n"/>
    </row>
    <row r="17" ht="14.25" customHeight="1" s="74">
      <c r="A17" s="58" t="inlineStr">
        <is>
          <t>Ore macchina di lavoro</t>
        </is>
      </c>
      <c r="B17" s="56" t="inlineStr">
        <is>
          <t>F01</t>
        </is>
      </c>
      <c r="C17" s="56" t="inlineStr">
        <is>
          <t>F02</t>
        </is>
      </c>
      <c r="D17" s="56" t="inlineStr">
        <is>
          <t>F03</t>
        </is>
      </c>
      <c r="E17" s="56" t="inlineStr">
        <is>
          <t>F04</t>
        </is>
      </c>
      <c r="F17" s="56" t="inlineStr">
        <is>
          <t>F05</t>
        </is>
      </c>
      <c r="G17" s="56" t="inlineStr">
        <is>
          <t>F06</t>
        </is>
      </c>
      <c r="H17" s="56" t="inlineStr">
        <is>
          <t>F07</t>
        </is>
      </c>
      <c r="I17" s="56" t="inlineStr">
        <is>
          <t>F08</t>
        </is>
      </c>
      <c r="J17" s="56" t="inlineStr">
        <is>
          <t>F09</t>
        </is>
      </c>
      <c r="K17" s="56" t="inlineStr">
        <is>
          <t>F10</t>
        </is>
      </c>
      <c r="L17" s="56" t="inlineStr">
        <is>
          <t>F11</t>
        </is>
      </c>
      <c r="M17" s="56" t="inlineStr">
        <is>
          <t>ISOLA1</t>
        </is>
      </c>
      <c r="N17" s="56" t="inlineStr">
        <is>
          <t>M1030</t>
        </is>
      </c>
      <c r="O17" s="56" t="inlineStr">
        <is>
          <t>M1050</t>
        </is>
      </c>
      <c r="P17" s="56" t="inlineStr">
        <is>
          <t>MG5</t>
        </is>
      </c>
      <c r="Q17" s="56" t="inlineStr">
        <is>
          <t>MG6</t>
        </is>
      </c>
      <c r="R17" s="56" t="inlineStr">
        <is>
          <t>MG7</t>
        </is>
      </c>
      <c r="S17" s="56" t="inlineStr">
        <is>
          <t>MG8</t>
        </is>
      </c>
      <c r="T17" s="56" t="inlineStr">
        <is>
          <t>MMAN</t>
        </is>
      </c>
      <c r="U17" s="56" t="inlineStr">
        <is>
          <t>MP1</t>
        </is>
      </c>
      <c r="V17" s="56" t="inlineStr">
        <is>
          <t>MP2</t>
        </is>
      </c>
      <c r="W17" s="56" t="inlineStr">
        <is>
          <t>MP3</t>
        </is>
      </c>
      <c r="X17" s="56" t="inlineStr">
        <is>
          <t>MP4</t>
        </is>
      </c>
      <c r="Y17" s="56" t="inlineStr">
        <is>
          <t>ASS1 SYCMA</t>
        </is>
      </c>
      <c r="Z17" s="56" t="inlineStr">
        <is>
          <t>TMPM2_TMPMI</t>
        </is>
      </c>
      <c r="AA17" s="56" t="inlineStr">
        <is>
          <t>TMPMA1</t>
        </is>
      </c>
      <c r="AB17" s="56" t="inlineStr">
        <is>
          <t>TROV</t>
        </is>
      </c>
    </row>
    <row r="18" ht="14.25" customHeight="1" s="74">
      <c r="A18" s="57" t="n">
        <v>45597</v>
      </c>
      <c r="B18" s="72" t="inlineStr">
        <is>
          <t>duecento</t>
        </is>
      </c>
      <c r="C18" s="72" t="n">
        <v>103.3</v>
      </c>
      <c r="D18" s="72" t="n">
        <v>100.6</v>
      </c>
      <c r="E18" s="72" t="n">
        <v>9.6</v>
      </c>
      <c r="F18" s="72" t="n">
        <v>86.7</v>
      </c>
      <c r="G18" s="72" t="n">
        <v>145.9</v>
      </c>
      <c r="H18" s="72" t="n">
        <v>175.2</v>
      </c>
      <c r="I18" s="72" t="n">
        <v>121.9</v>
      </c>
      <c r="J18" s="72" t="n">
        <v>50.7</v>
      </c>
      <c r="K18" s="72" t="n">
        <v>55.1</v>
      </c>
      <c r="L18" s="72" t="n">
        <v>300.7</v>
      </c>
      <c r="M18" s="72" t="n">
        <v>100.3</v>
      </c>
      <c r="N18" s="72" t="n">
        <v>112.6</v>
      </c>
      <c r="O18" s="72" t="n">
        <v>0</v>
      </c>
      <c r="P18" s="72" t="n">
        <v>167</v>
      </c>
      <c r="Q18" s="72" t="n">
        <v>170.5</v>
      </c>
      <c r="R18" s="72" t="n">
        <v>45.7</v>
      </c>
      <c r="S18" s="72" t="n">
        <v>59.8</v>
      </c>
      <c r="T18" s="72" t="n">
        <v>159.6</v>
      </c>
      <c r="U18" s="72" t="n">
        <v>0</v>
      </c>
      <c r="V18" s="72" t="n">
        <v>219.3</v>
      </c>
      <c r="W18" s="72" t="n">
        <v>50.9</v>
      </c>
      <c r="X18" s="72" t="n">
        <v>7.4</v>
      </c>
      <c r="Y18" s="72" t="n">
        <v>130.2</v>
      </c>
      <c r="Z18" s="72" t="n">
        <v>6.2</v>
      </c>
      <c r="AA18" s="72" t="n">
        <v>0</v>
      </c>
      <c r="AB18" s="72" t="n">
        <v>96.7</v>
      </c>
    </row>
    <row r="19" ht="14.25" customHeight="1" s="74">
      <c r="A19" s="57" t="n">
        <v>45627</v>
      </c>
      <c r="B19" s="7" t="n">
        <v>59.3</v>
      </c>
      <c r="C19" s="7" t="n">
        <v>89.7</v>
      </c>
      <c r="D19" s="7" t="n">
        <v>18.7</v>
      </c>
      <c r="E19" s="7" t="n">
        <v>99.3</v>
      </c>
      <c r="F19" s="7" t="n">
        <v>49.9</v>
      </c>
      <c r="G19" s="7" t="n">
        <v>61</v>
      </c>
      <c r="H19" s="7" t="n">
        <v>103.7</v>
      </c>
      <c r="I19" s="7" t="n">
        <v>72</v>
      </c>
      <c r="J19" s="7" t="n">
        <v>12.4</v>
      </c>
      <c r="K19" s="7" t="n">
        <v>2.1</v>
      </c>
      <c r="L19" s="7" t="n">
        <v>120.3</v>
      </c>
      <c r="M19" s="7" t="n">
        <v>29.1</v>
      </c>
      <c r="N19" s="7" t="n">
        <v>48.2</v>
      </c>
      <c r="O19" s="7" t="n">
        <v>0</v>
      </c>
      <c r="P19" s="7" t="n">
        <v>313.3</v>
      </c>
      <c r="Q19" s="7" t="n">
        <v>54.1</v>
      </c>
      <c r="R19" s="7" t="n">
        <v>21.1</v>
      </c>
      <c r="S19" s="7" t="n">
        <v>28.8</v>
      </c>
      <c r="T19" s="7" t="n">
        <v>62.9</v>
      </c>
      <c r="U19" s="7" t="n">
        <v>0</v>
      </c>
      <c r="V19" s="7" t="n">
        <v>34</v>
      </c>
      <c r="W19" s="7" t="n">
        <v>23.7</v>
      </c>
      <c r="X19" s="7" t="n">
        <v>65.2</v>
      </c>
      <c r="Y19" s="7" t="n">
        <v>70.15000000000001</v>
      </c>
      <c r="Z19" s="7" t="n">
        <v>107.1</v>
      </c>
      <c r="AA19" s="7" t="n">
        <v>0</v>
      </c>
      <c r="AB19" s="7" t="n">
        <v>72.09999999999999</v>
      </c>
    </row>
    <row r="20" ht="14.25" customHeight="1" s="74">
      <c r="A20" s="57" t="n">
        <v>45658</v>
      </c>
      <c r="B20" s="7" t="n">
        <v>129.8</v>
      </c>
      <c r="C20" s="7" t="n">
        <v>99.7</v>
      </c>
      <c r="D20" s="7" t="n">
        <v>112.5</v>
      </c>
      <c r="E20" s="7" t="n">
        <v>112.9</v>
      </c>
      <c r="F20" s="7" t="n">
        <v>50.2</v>
      </c>
      <c r="G20" s="7" t="n">
        <v>96</v>
      </c>
      <c r="H20" s="7" t="n">
        <v>130.7</v>
      </c>
      <c r="I20" s="7" t="n">
        <v>147.6</v>
      </c>
      <c r="J20" s="7" t="n">
        <v>2.3</v>
      </c>
      <c r="K20" s="7" t="n">
        <v>31.5</v>
      </c>
      <c r="L20" s="7" t="n">
        <v>209.8</v>
      </c>
      <c r="M20" s="7" t="n">
        <v>33.6</v>
      </c>
      <c r="N20" s="7" t="n">
        <v>92.59999999999999</v>
      </c>
      <c r="O20" s="7" t="n">
        <v>0</v>
      </c>
      <c r="P20" s="7" t="n">
        <v>83.8</v>
      </c>
      <c r="Q20" s="7" t="n">
        <v>106.1</v>
      </c>
      <c r="R20" s="7" t="n">
        <v>72.59999999999999</v>
      </c>
      <c r="S20" s="7" t="n">
        <v>111.7</v>
      </c>
      <c r="T20" s="7" t="n">
        <v>141.2</v>
      </c>
      <c r="U20" s="7" t="n">
        <v>36.8</v>
      </c>
      <c r="V20" s="7" t="n">
        <v>0</v>
      </c>
      <c r="W20" s="7" t="n">
        <v>11.9</v>
      </c>
      <c r="X20" s="7" t="n">
        <v>71.8</v>
      </c>
      <c r="Y20" s="7" t="n">
        <v>182.2</v>
      </c>
      <c r="Z20" s="7" t="n">
        <v>0</v>
      </c>
      <c r="AA20" s="7" t="n">
        <v>0</v>
      </c>
      <c r="AB20" s="7" t="n">
        <v>60.2</v>
      </c>
    </row>
    <row r="21" ht="14.25" customHeight="1" s="74">
      <c r="A21" s="57" t="n">
        <v>45689</v>
      </c>
      <c r="B21" s="7" t="n">
        <v>153.8</v>
      </c>
      <c r="C21" s="7" t="n">
        <v>77.59999999999999</v>
      </c>
      <c r="D21" s="7" t="n">
        <v>137.8</v>
      </c>
      <c r="E21" s="7" t="n">
        <v>129</v>
      </c>
      <c r="F21" s="7" t="n">
        <v>214.2</v>
      </c>
      <c r="G21" s="7" t="n">
        <v>66.90000000000001</v>
      </c>
      <c r="H21" s="7" t="n">
        <v>39.5</v>
      </c>
      <c r="I21" s="7" t="n">
        <v>37.1</v>
      </c>
      <c r="J21" s="7" t="n">
        <v>64.09999999999999</v>
      </c>
      <c r="K21" s="7" t="n">
        <v>92.59999999999999</v>
      </c>
      <c r="L21" s="7" t="n">
        <v>277</v>
      </c>
      <c r="M21" s="7" t="n">
        <v>20.4</v>
      </c>
      <c r="N21" s="7" t="n">
        <v>67.7</v>
      </c>
      <c r="O21" s="7" t="n">
        <v>0</v>
      </c>
      <c r="P21" s="7" t="n">
        <v>164.4</v>
      </c>
      <c r="Q21" s="7" t="n">
        <v>58.3</v>
      </c>
      <c r="R21" s="7" t="n">
        <v>180.6</v>
      </c>
      <c r="S21" s="7" t="n">
        <v>18.1</v>
      </c>
      <c r="T21" s="7" t="n">
        <v>202</v>
      </c>
      <c r="U21" s="7" t="n">
        <v>69.59999999999999</v>
      </c>
      <c r="V21" s="7" t="n">
        <v>0</v>
      </c>
      <c r="W21" s="7" t="n">
        <v>11.7</v>
      </c>
      <c r="X21" s="7" t="n">
        <v>70.5</v>
      </c>
      <c r="Y21" s="7" t="n">
        <v>127.5</v>
      </c>
      <c r="Z21" s="7" t="n">
        <v>0</v>
      </c>
      <c r="AA21" s="7" t="n">
        <v>0</v>
      </c>
      <c r="AB21" s="7" t="n">
        <v>87.3</v>
      </c>
    </row>
    <row r="22" ht="14.25" customHeight="1" s="74">
      <c r="A22" s="57" t="n">
        <v>45717</v>
      </c>
      <c r="B22" s="7" t="n">
        <v>94.59999999999999</v>
      </c>
      <c r="C22" s="7" t="n">
        <v>53.7</v>
      </c>
      <c r="D22" s="7" t="n">
        <v>80.09999999999999</v>
      </c>
      <c r="E22" s="7" t="n">
        <v>193.5</v>
      </c>
      <c r="F22" s="7" t="n">
        <v>278.1</v>
      </c>
      <c r="G22" s="7" t="n">
        <v>202.5</v>
      </c>
      <c r="H22" s="7" t="n">
        <v>74.3</v>
      </c>
      <c r="I22" s="7" t="n">
        <v>77.5</v>
      </c>
      <c r="J22" s="7" t="n">
        <v>99.40000000000001</v>
      </c>
      <c r="K22" s="7" t="n">
        <v>79.90000000000001</v>
      </c>
      <c r="L22" s="7" t="n">
        <v>259.4</v>
      </c>
      <c r="M22" s="7" t="n">
        <v>110.7</v>
      </c>
      <c r="N22" s="7" t="n">
        <v>83.2</v>
      </c>
      <c r="O22" s="7" t="n">
        <v>0</v>
      </c>
      <c r="P22" s="7" t="n">
        <v>67.3</v>
      </c>
      <c r="Q22" s="7" t="n">
        <v>117</v>
      </c>
      <c r="R22" s="7" t="n">
        <v>0</v>
      </c>
      <c r="S22" s="7" t="n">
        <v>78.5</v>
      </c>
      <c r="T22" s="7" t="n">
        <v>115.5</v>
      </c>
      <c r="U22" s="7" t="n">
        <v>0</v>
      </c>
      <c r="V22" s="7" t="n">
        <v>0</v>
      </c>
      <c r="W22" s="7" t="n">
        <v>82.09999999999999</v>
      </c>
      <c r="X22" s="7" t="n">
        <v>116.5</v>
      </c>
      <c r="Y22" s="7" t="n">
        <v>116.1</v>
      </c>
      <c r="Z22" s="7" t="n">
        <v>0</v>
      </c>
      <c r="AA22" s="7" t="n">
        <v>0</v>
      </c>
      <c r="AB22" s="7" t="n">
        <v>83.40000000000001</v>
      </c>
    </row>
    <row r="23" ht="14.25" customHeight="1" s="74">
      <c r="A23" s="57" t="n">
        <v>45748</v>
      </c>
      <c r="B23" s="7" t="n">
        <v>84.59999999999999</v>
      </c>
      <c r="C23" s="7" t="n">
        <v>108.4</v>
      </c>
      <c r="D23" s="7" t="n">
        <v>167.4</v>
      </c>
      <c r="E23" s="7" t="n">
        <v>27.1</v>
      </c>
      <c r="F23" s="7" t="n">
        <v>43</v>
      </c>
      <c r="G23" s="7" t="n">
        <v>124.6</v>
      </c>
      <c r="H23" s="7" t="n">
        <v>47.6</v>
      </c>
      <c r="I23" s="7" t="n">
        <v>70.59999999999999</v>
      </c>
      <c r="J23" s="7" t="n">
        <v>66</v>
      </c>
      <c r="K23" s="7" t="n">
        <v>164.8</v>
      </c>
      <c r="L23" s="7" t="n">
        <v>243.6</v>
      </c>
      <c r="M23" s="7" t="n">
        <v>105.6</v>
      </c>
      <c r="N23" s="7" t="n">
        <v>135.5</v>
      </c>
      <c r="O23" s="7" t="n">
        <v>0</v>
      </c>
      <c r="P23" s="7" t="n">
        <v>26.5</v>
      </c>
      <c r="Q23" s="7" t="n">
        <v>80.90000000000001</v>
      </c>
      <c r="R23" s="7" t="n">
        <v>0</v>
      </c>
      <c r="S23" s="7" t="n">
        <v>0</v>
      </c>
      <c r="T23" s="7" t="n">
        <v>48.3</v>
      </c>
      <c r="U23" s="7" t="n">
        <v>0</v>
      </c>
      <c r="V23" s="7" t="n">
        <v>45.8</v>
      </c>
      <c r="W23" s="7" t="n">
        <v>95.09999999999999</v>
      </c>
      <c r="X23" s="7" t="n">
        <v>76.7</v>
      </c>
      <c r="Y23" s="7" t="n">
        <v>67.90000000000001</v>
      </c>
      <c r="Z23" s="7" t="n">
        <v>40.4</v>
      </c>
      <c r="AA23" s="7" t="n">
        <v>0</v>
      </c>
      <c r="AB23" s="7" t="n">
        <v>93.2</v>
      </c>
    </row>
    <row r="24" ht="14.25" customHeight="1" s="74">
      <c r="A24" s="57" t="n">
        <v>45778</v>
      </c>
      <c r="B24" s="7" t="n">
        <v>135.2</v>
      </c>
      <c r="C24" s="7" t="n">
        <v>2.2</v>
      </c>
      <c r="D24" s="7" t="n">
        <v>4.4</v>
      </c>
      <c r="E24" s="7" t="n">
        <v>22.7</v>
      </c>
      <c r="F24" s="7" t="n">
        <v>66</v>
      </c>
      <c r="G24" s="7" t="n">
        <v>116.7</v>
      </c>
      <c r="H24" s="7" t="n">
        <v>0</v>
      </c>
      <c r="I24" s="7" t="n">
        <v>58.7</v>
      </c>
      <c r="J24" s="7" t="n">
        <v>0</v>
      </c>
      <c r="K24" s="7" t="n">
        <v>52.2</v>
      </c>
      <c r="L24" s="7" t="n">
        <v>244.8</v>
      </c>
      <c r="M24" s="7" t="n">
        <v>31</v>
      </c>
      <c r="N24" s="7" t="n">
        <v>38.5</v>
      </c>
      <c r="O24" s="7" t="n">
        <v>0</v>
      </c>
      <c r="P24" s="7" t="n">
        <v>122.3</v>
      </c>
      <c r="Q24" s="7" t="n">
        <v>61.4</v>
      </c>
      <c r="R24" s="7" t="n">
        <v>0</v>
      </c>
      <c r="S24" s="7" t="n">
        <v>53.8</v>
      </c>
      <c r="T24" s="7" t="n">
        <v>6.5</v>
      </c>
      <c r="U24" s="7" t="n">
        <v>0</v>
      </c>
      <c r="V24" s="7" t="n">
        <v>0</v>
      </c>
      <c r="W24" s="7" t="n">
        <v>62.5</v>
      </c>
      <c r="X24" s="7" t="n">
        <v>0</v>
      </c>
      <c r="Y24" s="7" t="n">
        <v>74.40000000000001</v>
      </c>
      <c r="Z24" s="7" t="n">
        <v>22.2</v>
      </c>
      <c r="AA24" s="7" t="n">
        <v>0</v>
      </c>
      <c r="AB24" s="7" t="n">
        <v>68.5</v>
      </c>
    </row>
    <row r="25" ht="14.25" customHeight="1" s="74">
      <c r="A25" s="57" t="n">
        <v>45809</v>
      </c>
      <c r="B25" s="7" t="n">
        <v>18.2</v>
      </c>
      <c r="C25" s="7" t="n">
        <v>15.8</v>
      </c>
      <c r="D25" s="7" t="n">
        <v>21.1</v>
      </c>
      <c r="E25" s="7" t="n">
        <v>66.8</v>
      </c>
      <c r="F25" s="7" t="n">
        <v>30.6</v>
      </c>
      <c r="G25" s="7" t="n">
        <v>51.6</v>
      </c>
      <c r="H25" s="7" t="n">
        <v>47.1</v>
      </c>
      <c r="I25" s="7" t="n">
        <v>83.5</v>
      </c>
      <c r="J25" s="7" t="n">
        <v>19.5</v>
      </c>
      <c r="K25" s="7" t="n">
        <v>6.5</v>
      </c>
      <c r="L25" s="7" t="n">
        <v>239.3</v>
      </c>
      <c r="M25" s="7" t="n">
        <v>28.2</v>
      </c>
      <c r="N25" s="7" t="n">
        <v>45.6</v>
      </c>
      <c r="O25" s="7" t="n">
        <v>0</v>
      </c>
      <c r="P25" s="7" t="n">
        <v>257.3</v>
      </c>
      <c r="Q25" s="7" t="n">
        <v>118.2</v>
      </c>
      <c r="R25" s="7" t="n">
        <v>0</v>
      </c>
      <c r="S25" s="7" t="n">
        <v>10.6</v>
      </c>
      <c r="T25" s="7" t="n">
        <v>0</v>
      </c>
      <c r="U25" s="7" t="n">
        <v>0</v>
      </c>
      <c r="V25" s="7" t="n">
        <v>25.7</v>
      </c>
      <c r="W25" s="7" t="n">
        <v>0</v>
      </c>
      <c r="X25" s="7" t="n">
        <v>0</v>
      </c>
      <c r="Y25" s="7" t="n">
        <v>35</v>
      </c>
      <c r="Z25" s="7" t="n">
        <v>0</v>
      </c>
      <c r="AA25" s="7" t="n">
        <v>0</v>
      </c>
      <c r="AB25" s="7" t="n">
        <v>367.4</v>
      </c>
    </row>
    <row r="26" ht="14.25" customHeight="1" s="74">
      <c r="A26" s="57" t="n">
        <v>45839</v>
      </c>
      <c r="B26" s="7" t="n">
        <v>173.2</v>
      </c>
      <c r="C26" s="7" t="n">
        <v>115.1</v>
      </c>
      <c r="D26" s="7" t="n">
        <v>113</v>
      </c>
      <c r="E26" s="7" t="n">
        <v>201.7</v>
      </c>
      <c r="F26" s="7" t="n">
        <v>72.5</v>
      </c>
      <c r="G26" s="7" t="n">
        <v>32.6</v>
      </c>
      <c r="H26" s="7" t="n">
        <v>56.1</v>
      </c>
      <c r="I26" s="7" t="n">
        <v>131.1</v>
      </c>
      <c r="J26" s="7" t="n">
        <v>57.8</v>
      </c>
      <c r="K26" s="7" t="n">
        <v>150.1</v>
      </c>
      <c r="L26" s="7" t="n">
        <v>335.9</v>
      </c>
      <c r="M26" s="7" t="n">
        <v>145.4</v>
      </c>
      <c r="N26" s="7" t="n">
        <v>50.6</v>
      </c>
      <c r="O26" s="7" t="n">
        <v>0</v>
      </c>
      <c r="P26" s="7" t="n">
        <v>82</v>
      </c>
      <c r="Q26" s="7" t="n">
        <v>107.8</v>
      </c>
      <c r="R26" s="7" t="n">
        <v>0</v>
      </c>
      <c r="S26" s="7" t="n">
        <v>52.3</v>
      </c>
      <c r="T26" s="7" t="n">
        <v>0</v>
      </c>
      <c r="U26" s="7" t="n">
        <v>0</v>
      </c>
      <c r="V26" s="7" t="n">
        <v>67.3</v>
      </c>
      <c r="W26" s="7" t="n">
        <v>0</v>
      </c>
      <c r="X26" s="7" t="n">
        <v>0</v>
      </c>
      <c r="Y26" s="7" t="n">
        <v>95.40000000000001</v>
      </c>
      <c r="Z26" s="7" t="n">
        <v>0</v>
      </c>
      <c r="AA26" s="7" t="n">
        <v>0</v>
      </c>
      <c r="AB26" s="7" t="n">
        <v>5.2</v>
      </c>
    </row>
    <row r="27" ht="14.25" customHeight="1" s="74">
      <c r="A27" s="57" t="n">
        <v>45870</v>
      </c>
      <c r="B27" s="7" t="n">
        <v>0</v>
      </c>
      <c r="C27" s="7" t="n">
        <v>59.62</v>
      </c>
      <c r="D27" s="7" t="n">
        <v>0</v>
      </c>
      <c r="E27" s="7" t="n">
        <v>18.37</v>
      </c>
      <c r="F27" s="7" t="n">
        <v>20.61</v>
      </c>
      <c r="G27" s="7" t="n">
        <v>2.08</v>
      </c>
      <c r="H27" s="7" t="n">
        <v>53.68</v>
      </c>
      <c r="I27" s="7" t="n">
        <v>0</v>
      </c>
      <c r="J27" s="7" t="n">
        <v>8.56</v>
      </c>
      <c r="K27" s="7" t="n">
        <v>0</v>
      </c>
      <c r="L27" s="7" t="n">
        <v>43.05</v>
      </c>
      <c r="M27" s="7" t="n">
        <v>0</v>
      </c>
      <c r="N27" s="7" t="n">
        <v>14.56</v>
      </c>
      <c r="O27" s="7" t="n">
        <v>0</v>
      </c>
      <c r="P27" s="7" t="n">
        <v>58.05</v>
      </c>
      <c r="Q27" s="7" t="n">
        <v>70.04000000000001</v>
      </c>
      <c r="R27" s="7" t="n">
        <v>0</v>
      </c>
      <c r="S27" s="7" t="n">
        <v>32.94</v>
      </c>
      <c r="T27" s="7" t="n">
        <v>17.82</v>
      </c>
      <c r="U27" s="7" t="n">
        <v>0</v>
      </c>
      <c r="V27" s="7" t="n">
        <v>0</v>
      </c>
      <c r="W27" s="7" t="n">
        <v>0</v>
      </c>
      <c r="X27" s="7" t="n">
        <v>0</v>
      </c>
      <c r="Y27" s="7" t="n">
        <v>6.11</v>
      </c>
      <c r="Z27" s="7" t="n">
        <v>0</v>
      </c>
      <c r="AA27" s="7" t="n">
        <v>0</v>
      </c>
      <c r="AB27" s="7" t="n">
        <v>2.83</v>
      </c>
    </row>
    <row r="28" ht="14.25" customHeight="1" s="74">
      <c r="A28" s="57" t="n">
        <v>45901</v>
      </c>
      <c r="B28" s="7" t="n">
        <v>40.05</v>
      </c>
      <c r="C28" s="7" t="n">
        <v>287.77</v>
      </c>
      <c r="D28" s="7" t="n">
        <v>115.01</v>
      </c>
      <c r="E28" s="7" t="n">
        <v>53.02</v>
      </c>
      <c r="F28" s="7" t="n">
        <v>30.81</v>
      </c>
      <c r="G28" s="7" t="n">
        <v>78.23999999999999</v>
      </c>
      <c r="H28" s="7" t="n">
        <v>220.84</v>
      </c>
      <c r="I28" s="7" t="n">
        <v>0</v>
      </c>
      <c r="J28" s="7" t="n">
        <v>25.67</v>
      </c>
      <c r="K28" s="7" t="n">
        <v>110.88</v>
      </c>
      <c r="L28" s="7" t="n">
        <v>0</v>
      </c>
      <c r="M28" s="7" t="n">
        <v>0</v>
      </c>
      <c r="N28" s="7" t="n">
        <v>37.98</v>
      </c>
      <c r="O28" s="7" t="n">
        <v>0</v>
      </c>
      <c r="P28" s="7" t="n">
        <v>157.72</v>
      </c>
      <c r="Q28" s="7" t="n">
        <v>245.35</v>
      </c>
      <c r="R28" s="7" t="n">
        <v>18.71</v>
      </c>
      <c r="S28" s="7" t="n">
        <v>87.86</v>
      </c>
      <c r="T28" s="7" t="n">
        <v>68.19</v>
      </c>
      <c r="U28" s="7" t="n">
        <v>0</v>
      </c>
      <c r="V28" s="7" t="n">
        <v>22.11</v>
      </c>
      <c r="W28" s="7" t="n">
        <v>0</v>
      </c>
      <c r="X28" s="7" t="n">
        <v>0</v>
      </c>
      <c r="Y28" s="7" t="n">
        <v>128.79</v>
      </c>
      <c r="Z28" s="7" t="n">
        <v>0</v>
      </c>
      <c r="AA28" s="7" t="n">
        <v>0</v>
      </c>
      <c r="AB28" s="7" t="n">
        <v>9.029999999999999</v>
      </c>
    </row>
    <row r="29" ht="14.25" customHeight="1" s="74">
      <c r="A29" s="57" t="n">
        <v>45931</v>
      </c>
      <c r="B29" s="7" t="n">
        <v>40.92</v>
      </c>
      <c r="C29" s="7" t="n">
        <v>72.31</v>
      </c>
      <c r="D29" s="7" t="n">
        <v>4.04</v>
      </c>
      <c r="E29" s="7" t="n">
        <v>19.01</v>
      </c>
      <c r="F29" s="7" t="n">
        <v>0</v>
      </c>
      <c r="G29" s="7" t="n">
        <v>60.92</v>
      </c>
      <c r="H29" s="7" t="n">
        <v>26.5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3.08</v>
      </c>
      <c r="O29" s="7" t="n">
        <v>0</v>
      </c>
      <c r="P29" s="7" t="n">
        <v>48.67</v>
      </c>
      <c r="Q29" s="7" t="n">
        <v>39.54</v>
      </c>
      <c r="R29" s="7" t="n">
        <v>10.44</v>
      </c>
      <c r="S29" s="7" t="n">
        <v>0</v>
      </c>
      <c r="T29" s="7" t="n">
        <v>0</v>
      </c>
      <c r="U29" s="7" t="n">
        <v>0</v>
      </c>
      <c r="V29" s="7" t="n">
        <v>12.99</v>
      </c>
      <c r="W29" s="7" t="n">
        <v>0</v>
      </c>
      <c r="X29" s="7" t="n">
        <v>0</v>
      </c>
      <c r="Y29" s="7" t="n">
        <v>0</v>
      </c>
      <c r="Z29" s="7" t="n">
        <v>0</v>
      </c>
      <c r="AA29" s="7" t="n">
        <v>0</v>
      </c>
      <c r="AB29" s="7" t="n">
        <v>0</v>
      </c>
    </row>
    <row r="30" ht="14.25" customHeight="1" s="74">
      <c r="A30" s="14" t="n"/>
    </row>
    <row r="31" ht="14.25" customHeight="1" s="74">
      <c r="A31" s="58" t="inlineStr">
        <is>
          <t>Quantità prodotta</t>
        </is>
      </c>
      <c r="B31" s="56" t="inlineStr">
        <is>
          <t>F01</t>
        </is>
      </c>
      <c r="C31" s="56" t="inlineStr">
        <is>
          <t>F02</t>
        </is>
      </c>
      <c r="D31" s="56" t="inlineStr">
        <is>
          <t>F03</t>
        </is>
      </c>
      <c r="E31" s="56" t="inlineStr">
        <is>
          <t>F04</t>
        </is>
      </c>
      <c r="F31" s="56" t="inlineStr">
        <is>
          <t>F05</t>
        </is>
      </c>
      <c r="G31" s="56" t="inlineStr">
        <is>
          <t>F06</t>
        </is>
      </c>
      <c r="H31" s="56" t="inlineStr">
        <is>
          <t>F07</t>
        </is>
      </c>
      <c r="I31" s="56" t="inlineStr">
        <is>
          <t>F08</t>
        </is>
      </c>
      <c r="J31" s="56" t="inlineStr">
        <is>
          <t>F09</t>
        </is>
      </c>
      <c r="K31" s="56" t="inlineStr">
        <is>
          <t>F10</t>
        </is>
      </c>
      <c r="L31" s="56" t="inlineStr">
        <is>
          <t>F11</t>
        </is>
      </c>
      <c r="M31" s="56" t="inlineStr">
        <is>
          <t>ISOLA1</t>
        </is>
      </c>
      <c r="N31" s="56" t="inlineStr">
        <is>
          <t>M1030</t>
        </is>
      </c>
      <c r="O31" s="56" t="inlineStr">
        <is>
          <t>M1050</t>
        </is>
      </c>
      <c r="P31" s="56" t="inlineStr">
        <is>
          <t>MG5</t>
        </is>
      </c>
      <c r="Q31" s="56" t="inlineStr">
        <is>
          <t>MG6</t>
        </is>
      </c>
      <c r="R31" s="56" t="inlineStr">
        <is>
          <t>MG7</t>
        </is>
      </c>
      <c r="S31" s="56" t="inlineStr">
        <is>
          <t>MG8</t>
        </is>
      </c>
      <c r="T31" s="56" t="inlineStr">
        <is>
          <t>MMAN</t>
        </is>
      </c>
      <c r="U31" s="56" t="inlineStr">
        <is>
          <t>MP1</t>
        </is>
      </c>
      <c r="V31" s="56" t="inlineStr">
        <is>
          <t>MP2</t>
        </is>
      </c>
      <c r="W31" s="56" t="inlineStr">
        <is>
          <t>MP3</t>
        </is>
      </c>
      <c r="X31" s="56" t="inlineStr">
        <is>
          <t>MP4</t>
        </is>
      </c>
      <c r="Y31" s="56" t="inlineStr">
        <is>
          <t>ASS1 SYCMA</t>
        </is>
      </c>
      <c r="Z31" s="56" t="inlineStr">
        <is>
          <t>TMPM2_TMPMI</t>
        </is>
      </c>
      <c r="AA31" s="56" t="inlineStr">
        <is>
          <t>TMPMA1</t>
        </is>
      </c>
      <c r="AB31" s="56" t="inlineStr">
        <is>
          <t>TROV</t>
        </is>
      </c>
    </row>
    <row r="32" ht="14.25" customHeight="1" s="74">
      <c r="A32" s="57" t="n">
        <v>45597</v>
      </c>
      <c r="B32" s="72" t="n">
        <v>85000</v>
      </c>
      <c r="C32" s="72" t="n">
        <v>15405</v>
      </c>
      <c r="D32" s="72" t="n">
        <v>71217</v>
      </c>
      <c r="E32" s="72" t="n">
        <v>6000</v>
      </c>
      <c r="F32" s="72" t="n">
        <v>80240</v>
      </c>
      <c r="G32" s="72" t="n">
        <v>67158</v>
      </c>
      <c r="H32" s="72" t="n">
        <v>86620</v>
      </c>
      <c r="I32" s="72" t="n">
        <v>31407</v>
      </c>
      <c r="J32" s="72" t="n">
        <v>23463</v>
      </c>
      <c r="K32" s="72" t="n">
        <v>31023</v>
      </c>
      <c r="L32" s="72" t="n">
        <v>119234</v>
      </c>
      <c r="M32" s="72" t="n">
        <v>80847</v>
      </c>
      <c r="N32" s="72" t="n">
        <v>151631</v>
      </c>
      <c r="O32" s="72" t="n">
        <v>0</v>
      </c>
      <c r="P32" s="72" t="n">
        <v>39163</v>
      </c>
      <c r="Q32" s="72" t="n">
        <v>20105</v>
      </c>
      <c r="R32" s="72" t="n">
        <v>16163</v>
      </c>
      <c r="S32" s="72" t="n">
        <v>13260</v>
      </c>
      <c r="T32" s="72" t="n">
        <v>18477</v>
      </c>
      <c r="U32" s="72" t="n">
        <v>0</v>
      </c>
      <c r="V32" s="72" t="n">
        <v>112802</v>
      </c>
      <c r="W32" s="72" t="n">
        <v>13035</v>
      </c>
      <c r="X32" s="72" t="n">
        <v>3692</v>
      </c>
      <c r="Y32" s="72" t="n">
        <v>86845</v>
      </c>
      <c r="Z32" s="72" t="n">
        <v>952</v>
      </c>
      <c r="AA32" s="72" t="n">
        <v>17994</v>
      </c>
      <c r="AB32" s="72" t="n">
        <v>62726</v>
      </c>
    </row>
    <row r="33" ht="14.25" customHeight="1" s="74">
      <c r="A33" s="57" t="n">
        <v>45627</v>
      </c>
      <c r="B33" s="7" t="n">
        <v>49458</v>
      </c>
      <c r="C33" s="7" t="n">
        <v>100138</v>
      </c>
      <c r="D33" s="7" t="n">
        <v>7167</v>
      </c>
      <c r="E33" s="7" t="n">
        <v>50921</v>
      </c>
      <c r="F33" s="7" t="n">
        <v>62800</v>
      </c>
      <c r="G33" s="7" t="n">
        <v>26980</v>
      </c>
      <c r="H33" s="7" t="n">
        <v>60888</v>
      </c>
      <c r="I33" s="7" t="n">
        <v>48221</v>
      </c>
      <c r="J33" s="7" t="n">
        <v>3993</v>
      </c>
      <c r="K33" s="7" t="n">
        <v>2616</v>
      </c>
      <c r="L33" s="7" t="n">
        <v>36466</v>
      </c>
      <c r="M33" s="7" t="n">
        <v>26098</v>
      </c>
      <c r="N33" s="7" t="n">
        <v>62172</v>
      </c>
      <c r="O33" s="7" t="n">
        <v>0</v>
      </c>
      <c r="P33" s="7" t="n">
        <v>106394</v>
      </c>
      <c r="Q33" s="7" t="n">
        <v>18252</v>
      </c>
      <c r="R33" s="7" t="n">
        <v>9100</v>
      </c>
      <c r="S33" s="7" t="n">
        <v>6188</v>
      </c>
      <c r="T33" s="7" t="n">
        <v>21006</v>
      </c>
      <c r="U33" s="7" t="n">
        <v>0</v>
      </c>
      <c r="V33" s="7" t="n">
        <v>23098</v>
      </c>
      <c r="W33" s="7" t="n">
        <v>10080</v>
      </c>
      <c r="X33" s="7" t="n">
        <v>29070</v>
      </c>
      <c r="Y33" s="7" t="n">
        <v>37100</v>
      </c>
      <c r="Z33" s="7" t="n">
        <v>25238</v>
      </c>
      <c r="AA33" s="7" t="n">
        <v>3994</v>
      </c>
      <c r="AB33" s="7" t="n">
        <v>30052</v>
      </c>
    </row>
    <row r="34" ht="14.25" customHeight="1" s="74">
      <c r="A34" s="57" t="n">
        <v>45658</v>
      </c>
      <c r="B34" s="7" t="n">
        <v>81089</v>
      </c>
      <c r="C34" s="7" t="n">
        <v>6278</v>
      </c>
      <c r="D34" s="7" t="n">
        <v>32200</v>
      </c>
      <c r="E34" s="7" t="n">
        <v>99119</v>
      </c>
      <c r="F34" s="7" t="n">
        <v>56800</v>
      </c>
      <c r="G34" s="7" t="n">
        <v>41000</v>
      </c>
      <c r="H34" s="7" t="n">
        <v>35268</v>
      </c>
      <c r="I34" s="7" t="n">
        <v>67400</v>
      </c>
      <c r="J34" s="7" t="n">
        <v>9</v>
      </c>
      <c r="K34" s="7" t="n">
        <v>8619</v>
      </c>
      <c r="L34" s="7" t="n">
        <v>62417</v>
      </c>
      <c r="M34" s="7" t="n">
        <v>36485</v>
      </c>
      <c r="N34" s="7" t="n">
        <v>122346</v>
      </c>
      <c r="O34" s="7" t="n">
        <v>0</v>
      </c>
      <c r="P34" s="7" t="n">
        <v>33385</v>
      </c>
      <c r="Q34" s="7" t="n">
        <v>40745</v>
      </c>
      <c r="R34" s="7" t="n">
        <v>20219</v>
      </c>
      <c r="S34" s="7" t="n">
        <v>25438</v>
      </c>
      <c r="T34" s="7" t="n">
        <v>23440</v>
      </c>
      <c r="U34" s="7" t="n">
        <v>16048</v>
      </c>
      <c r="V34" s="7" t="n">
        <v>0</v>
      </c>
      <c r="W34" s="7" t="n">
        <v>4740</v>
      </c>
      <c r="X34" s="7" t="n">
        <v>29246</v>
      </c>
      <c r="Y34" s="7" t="n">
        <v>0</v>
      </c>
      <c r="Z34" s="7" t="n">
        <v>0</v>
      </c>
      <c r="AA34" s="7" t="n">
        <v>0</v>
      </c>
      <c r="AB34" s="7" t="n">
        <v>33464</v>
      </c>
    </row>
    <row r="35" ht="14.25" customHeight="1" s="74">
      <c r="A35" s="57" t="n">
        <v>45689</v>
      </c>
      <c r="B35" s="7" t="n">
        <v>90790</v>
      </c>
      <c r="C35" s="7" t="n">
        <v>41985</v>
      </c>
      <c r="D35" s="7" t="n">
        <v>57200</v>
      </c>
      <c r="E35" s="7" t="n">
        <v>90878</v>
      </c>
      <c r="F35" s="7" t="n">
        <v>7216</v>
      </c>
      <c r="G35" s="7" t="n">
        <v>21616</v>
      </c>
      <c r="H35" s="7" t="n">
        <v>10207</v>
      </c>
      <c r="I35" s="7" t="n">
        <v>23510</v>
      </c>
      <c r="J35" s="7" t="n">
        <v>36009</v>
      </c>
      <c r="K35" s="7" t="n">
        <v>29278</v>
      </c>
      <c r="L35" s="7" t="n">
        <v>96598</v>
      </c>
      <c r="M35" s="7" t="n">
        <v>15760</v>
      </c>
      <c r="N35" s="7" t="n">
        <v>80711</v>
      </c>
      <c r="O35" s="7" t="n">
        <v>0</v>
      </c>
      <c r="P35" s="7" t="n">
        <v>50236</v>
      </c>
      <c r="Q35" s="7" t="n">
        <v>23470</v>
      </c>
      <c r="R35" s="7" t="n">
        <v>29367</v>
      </c>
      <c r="S35" s="7" t="n">
        <v>2223</v>
      </c>
      <c r="T35" s="7" t="n">
        <v>38160</v>
      </c>
      <c r="U35" s="7" t="n">
        <v>28795</v>
      </c>
      <c r="V35" s="7" t="n">
        <v>0</v>
      </c>
      <c r="W35" s="7" t="n">
        <v>3784</v>
      </c>
      <c r="X35" s="7" t="n">
        <v>29300</v>
      </c>
      <c r="Y35" s="7" t="n">
        <v>0</v>
      </c>
      <c r="Z35" s="7" t="n">
        <v>0</v>
      </c>
      <c r="AA35" s="7" t="n">
        <v>0</v>
      </c>
      <c r="AB35" s="7" t="n">
        <v>49428</v>
      </c>
    </row>
    <row r="36" ht="14.25" customHeight="1" s="74">
      <c r="A36" s="57" t="n">
        <v>45717</v>
      </c>
      <c r="B36" s="7" t="n">
        <v>82524</v>
      </c>
      <c r="C36" s="7" t="n">
        <v>36925</v>
      </c>
      <c r="D36" s="7" t="n">
        <v>46789</v>
      </c>
      <c r="E36" s="7" t="n">
        <v>182385</v>
      </c>
      <c r="F36" s="7" t="n">
        <v>66544</v>
      </c>
      <c r="G36" s="7" t="n">
        <v>40006</v>
      </c>
      <c r="H36" s="7" t="n">
        <v>36000</v>
      </c>
      <c r="I36" s="7" t="n">
        <v>11300</v>
      </c>
      <c r="J36" s="7" t="n">
        <v>22178</v>
      </c>
      <c r="K36" s="7" t="n">
        <v>33501</v>
      </c>
      <c r="L36" s="7" t="n">
        <v>83238</v>
      </c>
      <c r="M36" s="7" t="n">
        <v>86910</v>
      </c>
      <c r="N36" s="7" t="n">
        <v>99845</v>
      </c>
      <c r="O36" s="7" t="n">
        <v>0</v>
      </c>
      <c r="P36" s="7" t="n">
        <v>21941</v>
      </c>
      <c r="Q36" s="7" t="n">
        <v>43809</v>
      </c>
      <c r="R36" s="7" t="n">
        <v>0</v>
      </c>
      <c r="S36" s="7" t="n">
        <v>11680</v>
      </c>
      <c r="T36" s="7" t="n">
        <v>13390</v>
      </c>
      <c r="U36" s="7" t="n">
        <v>0</v>
      </c>
      <c r="V36" s="7" t="n">
        <v>0</v>
      </c>
      <c r="W36" s="7" t="n">
        <v>32736</v>
      </c>
      <c r="X36" s="7" t="n">
        <v>44827</v>
      </c>
      <c r="Y36" s="7" t="n">
        <v>0</v>
      </c>
      <c r="Z36" s="7" t="n">
        <v>0</v>
      </c>
      <c r="AA36" s="7" t="n">
        <v>0</v>
      </c>
      <c r="AB36" s="7" t="n">
        <v>54715</v>
      </c>
    </row>
    <row r="37" ht="14.25" customHeight="1" s="74">
      <c r="A37" s="57" t="n">
        <v>45748</v>
      </c>
      <c r="B37" s="7" t="n">
        <v>89516</v>
      </c>
      <c r="C37" s="7" t="n">
        <v>19510</v>
      </c>
      <c r="D37" s="7" t="n">
        <v>36400</v>
      </c>
      <c r="E37" s="7" t="n">
        <v>22558</v>
      </c>
      <c r="F37" s="7" t="n">
        <v>44400</v>
      </c>
      <c r="G37" s="7" t="n">
        <v>22826</v>
      </c>
      <c r="H37" s="7" t="n">
        <v>26552</v>
      </c>
      <c r="I37" s="7" t="n">
        <v>15552</v>
      </c>
      <c r="J37" s="7" t="n">
        <v>16806</v>
      </c>
      <c r="K37" s="7" t="n">
        <v>70944</v>
      </c>
      <c r="L37" s="7" t="n">
        <v>86947</v>
      </c>
      <c r="M37" s="7" t="n">
        <v>129675</v>
      </c>
      <c r="N37" s="7" t="n">
        <v>72022</v>
      </c>
      <c r="O37" s="7" t="n">
        <v>0</v>
      </c>
      <c r="P37" s="7" t="n">
        <v>9251</v>
      </c>
      <c r="Q37" s="7" t="n">
        <v>26090</v>
      </c>
      <c r="R37" s="7" t="n">
        <v>0</v>
      </c>
      <c r="S37" s="7" t="n">
        <v>1</v>
      </c>
      <c r="T37" s="7" t="n">
        <v>15990</v>
      </c>
      <c r="U37" s="7" t="n">
        <v>0</v>
      </c>
      <c r="V37" s="7" t="n">
        <v>25650</v>
      </c>
      <c r="W37" s="7" t="n">
        <v>40772</v>
      </c>
      <c r="X37" s="7" t="n">
        <v>28171</v>
      </c>
      <c r="Y37" s="7" t="n">
        <v>0</v>
      </c>
      <c r="Z37" s="7" t="n">
        <v>5772</v>
      </c>
      <c r="AA37" s="7" t="n">
        <v>13268</v>
      </c>
      <c r="AB37" s="7" t="n">
        <v>66697</v>
      </c>
    </row>
    <row r="38" ht="14.25" customHeight="1" s="74">
      <c r="A38" s="57" t="n">
        <v>45778</v>
      </c>
      <c r="B38" s="7" t="n">
        <v>36500</v>
      </c>
      <c r="C38" s="7" t="n">
        <v>500</v>
      </c>
      <c r="D38" s="7" t="n">
        <v>1303</v>
      </c>
      <c r="E38" s="7" t="n">
        <v>13000</v>
      </c>
      <c r="F38" s="7" t="n">
        <v>45988</v>
      </c>
      <c r="G38" s="7" t="n">
        <v>44200</v>
      </c>
      <c r="H38" s="7" t="n">
        <v>0</v>
      </c>
      <c r="I38" s="7" t="n">
        <v>11985</v>
      </c>
      <c r="J38" s="7" t="n"/>
      <c r="K38" s="7" t="n">
        <v>29403</v>
      </c>
      <c r="L38" s="7" t="n">
        <v>72060</v>
      </c>
      <c r="M38" s="7" t="n">
        <v>45169</v>
      </c>
      <c r="N38" s="7" t="n">
        <v>41672</v>
      </c>
      <c r="O38" s="7" t="n">
        <v>0</v>
      </c>
      <c r="P38" s="7" t="n">
        <v>49539</v>
      </c>
      <c r="Q38" s="7" t="n">
        <v>22280</v>
      </c>
      <c r="R38" s="7" t="n">
        <v>0</v>
      </c>
      <c r="S38" s="7" t="n">
        <v>13306</v>
      </c>
      <c r="T38" s="7" t="n">
        <v>6160</v>
      </c>
      <c r="U38" s="7" t="n">
        <v>0</v>
      </c>
      <c r="V38" s="7" t="n">
        <v>0</v>
      </c>
      <c r="W38" s="7" t="n">
        <v>37888</v>
      </c>
      <c r="X38" s="7" t="n">
        <v>0</v>
      </c>
      <c r="Y38" s="7" t="n">
        <v>0</v>
      </c>
      <c r="Z38" s="7" t="n">
        <v>10809</v>
      </c>
      <c r="AA38" s="7" t="n">
        <v>0</v>
      </c>
      <c r="AB38" s="7" t="n">
        <v>28642</v>
      </c>
    </row>
    <row r="39" ht="14.25" customHeight="1" s="74">
      <c r="A39" s="57" t="n">
        <v>45809</v>
      </c>
      <c r="B39" s="7" t="n">
        <v>20900</v>
      </c>
      <c r="C39" s="7" t="n">
        <v>4484</v>
      </c>
      <c r="D39" s="7" t="n">
        <v>12400</v>
      </c>
      <c r="E39" s="7" t="n">
        <v>36424</v>
      </c>
      <c r="F39" s="7" t="n">
        <v>25456</v>
      </c>
      <c r="G39" s="7" t="n">
        <v>33550</v>
      </c>
      <c r="H39" s="7" t="n">
        <v>14836</v>
      </c>
      <c r="I39" s="7" t="n">
        <v>14828</v>
      </c>
      <c r="J39" s="7" t="n">
        <v>13125</v>
      </c>
      <c r="K39" s="7" t="n">
        <v>4800</v>
      </c>
      <c r="L39" s="7" t="n">
        <v>83892</v>
      </c>
      <c r="M39" s="7" t="n">
        <v>29781</v>
      </c>
      <c r="N39" s="7" t="n">
        <v>48181</v>
      </c>
      <c r="O39" s="7" t="n">
        <v>0</v>
      </c>
      <c r="P39" s="7" t="n">
        <v>96390</v>
      </c>
      <c r="Q39" s="7" t="n">
        <v>53907</v>
      </c>
      <c r="R39" s="7" t="n">
        <v>0</v>
      </c>
      <c r="S39" s="7" t="n">
        <v>3176</v>
      </c>
      <c r="T39" s="7" t="n">
        <v>0</v>
      </c>
      <c r="U39" s="7" t="n">
        <v>0</v>
      </c>
      <c r="V39" s="7" t="n">
        <v>16860</v>
      </c>
      <c r="W39" s="7" t="n">
        <v>0</v>
      </c>
      <c r="X39" s="7" t="n">
        <v>0</v>
      </c>
      <c r="Y39" s="7" t="n">
        <v>0</v>
      </c>
      <c r="Z39" s="7" t="n">
        <v>0</v>
      </c>
      <c r="AA39" s="7" t="n">
        <v>0</v>
      </c>
      <c r="AB39" s="7" t="n">
        <v>7844</v>
      </c>
    </row>
    <row r="40" ht="14.25" customHeight="1" s="74">
      <c r="A40" s="57" t="n">
        <v>45839</v>
      </c>
      <c r="B40" s="7" t="n">
        <v>197200</v>
      </c>
      <c r="C40" s="7" t="n">
        <v>51000</v>
      </c>
      <c r="D40" s="7" t="n">
        <v>79954</v>
      </c>
      <c r="E40" s="7" t="n">
        <v>124631</v>
      </c>
      <c r="F40" s="7" t="n">
        <v>85935</v>
      </c>
      <c r="G40" s="7" t="n">
        <v>41334</v>
      </c>
      <c r="H40" s="7" t="n">
        <v>46226</v>
      </c>
      <c r="I40" s="7" t="n">
        <v>115922</v>
      </c>
      <c r="J40" s="7" t="n">
        <v>18000</v>
      </c>
      <c r="K40" s="7" t="n">
        <v>33092</v>
      </c>
      <c r="L40" s="7" t="n">
        <v>114871</v>
      </c>
      <c r="M40" s="7" t="n">
        <v>136744</v>
      </c>
      <c r="N40" s="7" t="n">
        <v>53004</v>
      </c>
      <c r="O40" s="7" t="n">
        <v>0</v>
      </c>
      <c r="P40" s="7" t="n">
        <v>24626</v>
      </c>
      <c r="Q40" s="7" t="n">
        <v>41601</v>
      </c>
      <c r="R40" s="7" t="n">
        <v>0</v>
      </c>
      <c r="S40" s="7" t="n">
        <v>10511</v>
      </c>
      <c r="T40" s="7" t="n">
        <v>0</v>
      </c>
      <c r="U40" s="7" t="n">
        <v>0</v>
      </c>
      <c r="V40" s="7" t="n">
        <v>45000</v>
      </c>
      <c r="W40" s="7" t="n">
        <v>0</v>
      </c>
      <c r="X40" s="7" t="n">
        <v>0</v>
      </c>
      <c r="Y40" s="7" t="n">
        <v>0</v>
      </c>
      <c r="Z40" s="7" t="n">
        <v>0</v>
      </c>
      <c r="AA40" s="7" t="n">
        <v>0</v>
      </c>
      <c r="AB40" s="7" t="n">
        <v>2000</v>
      </c>
    </row>
    <row r="41" ht="14.25" customHeight="1" s="74">
      <c r="A41" s="57" t="n">
        <v>45870</v>
      </c>
      <c r="B41" s="7" t="n">
        <v>0</v>
      </c>
      <c r="C41" s="7" t="n">
        <v>35441</v>
      </c>
      <c r="D41" s="7" t="n">
        <v>0</v>
      </c>
      <c r="E41" s="7" t="n">
        <v>9065</v>
      </c>
      <c r="F41" s="7" t="n">
        <v>18480</v>
      </c>
      <c r="G41" s="7" t="n">
        <v>200</v>
      </c>
      <c r="H41" s="7" t="n">
        <v>51700</v>
      </c>
      <c r="I41" s="7" t="n">
        <v>0</v>
      </c>
      <c r="J41" s="7" t="n">
        <v>5000</v>
      </c>
      <c r="K41" s="7" t="n">
        <v>0</v>
      </c>
      <c r="L41" s="7" t="n">
        <v>15723</v>
      </c>
      <c r="M41" s="7" t="n">
        <v>0</v>
      </c>
      <c r="N41" s="7" t="n">
        <v>16100</v>
      </c>
      <c r="O41" s="7" t="n">
        <v>0</v>
      </c>
      <c r="P41" s="7" t="n">
        <v>18480</v>
      </c>
      <c r="Q41" s="7" t="n">
        <v>32592</v>
      </c>
      <c r="R41" s="7" t="n">
        <v>0</v>
      </c>
      <c r="S41" s="7" t="n">
        <v>6472</v>
      </c>
      <c r="T41" s="7" t="n">
        <v>2126</v>
      </c>
      <c r="U41" s="7" t="n">
        <v>0</v>
      </c>
      <c r="V41" s="7" t="n">
        <v>0</v>
      </c>
      <c r="W41" s="7" t="n">
        <v>0</v>
      </c>
      <c r="X41" s="7" t="n">
        <v>0</v>
      </c>
      <c r="Y41" s="7" t="n">
        <v>5236</v>
      </c>
      <c r="Z41" s="7" t="n">
        <v>0</v>
      </c>
      <c r="AA41" s="7" t="n">
        <v>0</v>
      </c>
      <c r="AB41" s="7" t="n">
        <v>2266</v>
      </c>
    </row>
    <row r="42" ht="14.25" customHeight="1" s="74">
      <c r="A42" s="57" t="n">
        <v>45901</v>
      </c>
      <c r="B42" s="7" t="n">
        <v>16300</v>
      </c>
      <c r="C42" s="7" t="n">
        <v>112280</v>
      </c>
      <c r="D42" s="7" t="n">
        <v>88600</v>
      </c>
      <c r="E42" s="7" t="n">
        <v>44000</v>
      </c>
      <c r="F42" s="7" t="n">
        <v>33648</v>
      </c>
      <c r="G42" s="7" t="n">
        <v>52692</v>
      </c>
      <c r="H42" s="7" t="n">
        <v>174681</v>
      </c>
      <c r="I42" s="7" t="n">
        <v>0</v>
      </c>
      <c r="J42" s="7" t="n">
        <v>18360</v>
      </c>
      <c r="K42" s="7" t="n">
        <v>11782</v>
      </c>
      <c r="L42" s="7" t="n">
        <v>0</v>
      </c>
      <c r="M42" s="7" t="n">
        <v>0</v>
      </c>
      <c r="N42" s="7" t="n">
        <v>39691</v>
      </c>
      <c r="O42" s="7" t="n">
        <v>0</v>
      </c>
      <c r="P42" s="7" t="n">
        <v>48778</v>
      </c>
      <c r="Q42" s="7" t="n">
        <v>114670</v>
      </c>
      <c r="R42" s="7" t="n">
        <v>5980</v>
      </c>
      <c r="S42" s="7" t="n">
        <v>16889</v>
      </c>
      <c r="T42" s="7" t="n">
        <v>10152</v>
      </c>
      <c r="U42" s="7" t="n">
        <v>0</v>
      </c>
      <c r="V42" s="7" t="n">
        <v>12791</v>
      </c>
      <c r="W42" s="7" t="n">
        <v>0</v>
      </c>
      <c r="X42" s="7" t="n">
        <v>0</v>
      </c>
      <c r="Y42" s="7" t="n">
        <v>96569</v>
      </c>
      <c r="Z42" s="7" t="n">
        <v>0</v>
      </c>
      <c r="AA42" s="7" t="n">
        <v>0</v>
      </c>
      <c r="AB42" s="7" t="n">
        <v>5308</v>
      </c>
    </row>
    <row r="43" ht="14.25" customHeight="1" s="74">
      <c r="A43" s="57" t="n">
        <v>45931</v>
      </c>
      <c r="B43" s="7" t="n">
        <v>20349</v>
      </c>
      <c r="C43" s="7" t="n">
        <v>28690</v>
      </c>
      <c r="D43" s="7" t="n">
        <v>2000</v>
      </c>
      <c r="E43" s="7" t="n">
        <v>9876</v>
      </c>
      <c r="F43" s="7" t="n">
        <v>0</v>
      </c>
      <c r="G43" s="7" t="n">
        <v>29500</v>
      </c>
      <c r="H43" s="7" t="n">
        <v>27000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5250</v>
      </c>
      <c r="O43" s="7" t="n">
        <v>0</v>
      </c>
      <c r="P43" s="7" t="n">
        <v>22306</v>
      </c>
      <c r="Q43" s="7" t="n">
        <v>14168</v>
      </c>
      <c r="R43" s="7" t="n">
        <v>2284</v>
      </c>
      <c r="S43" s="7" t="n">
        <v>0</v>
      </c>
      <c r="T43" s="7" t="n">
        <v>0</v>
      </c>
      <c r="U43" s="7" t="n">
        <v>0</v>
      </c>
      <c r="V43" s="7" t="n">
        <v>8566</v>
      </c>
      <c r="W43" s="7" t="n">
        <v>0</v>
      </c>
      <c r="X43" s="7" t="n">
        <v>0</v>
      </c>
      <c r="Y43" s="7" t="n">
        <v>6740</v>
      </c>
      <c r="Z43" s="7" t="n">
        <v>0</v>
      </c>
      <c r="AA43" s="7" t="n">
        <v>0</v>
      </c>
      <c r="AB43" s="7" t="n">
        <v>0</v>
      </c>
    </row>
    <row r="44" ht="14.25" customHeight="1" s="74">
      <c r="A44" s="14" t="n"/>
    </row>
    <row r="45" ht="14.25" customHeight="1" s="74">
      <c r="C45" s="78" t="inlineStr">
        <is>
          <t>dal 15/11 start ICO</t>
        </is>
      </c>
      <c r="E45" s="80" t="inlineStr">
        <is>
          <t>ENEL Bolletta</t>
        </is>
      </c>
      <c r="F45" s="71" t="inlineStr">
        <is>
          <t>ICOF Rilevato da ICO</t>
        </is>
      </c>
      <c r="G45" s="71" t="inlineStr">
        <is>
          <t>Differenza ENEL ICO</t>
        </is>
      </c>
      <c r="H45" s="80" t="inlineStr">
        <is>
          <t>COMPRESSORI</t>
        </is>
      </c>
      <c r="I45" s="71" t="inlineStr">
        <is>
          <t>ICOF - COMPRESSORI</t>
        </is>
      </c>
      <c r="J45" s="81" t="inlineStr">
        <is>
          <t>COSTO MACCHINE</t>
        </is>
      </c>
      <c r="K45" s="79" t="inlineStr">
        <is>
          <t>uffici + pompe +chiller + tutto il resto</t>
        </is>
      </c>
    </row>
    <row r="46" ht="14.25" customHeight="1" s="74">
      <c r="A46" s="16" t="inlineStr">
        <is>
          <t>Consumi in kWh</t>
        </is>
      </c>
      <c r="B46" s="15" t="n"/>
      <c r="E46" s="72" t="n"/>
      <c r="F46" s="72" t="n"/>
      <c r="G46" s="72" t="n"/>
      <c r="H46" s="72" t="n"/>
      <c r="I46" s="72" t="n"/>
      <c r="J46" s="72" t="n"/>
      <c r="K46" s="72" t="n"/>
    </row>
    <row r="47" ht="14.25" customHeight="1" s="74">
      <c r="A47" t="inlineStr">
        <is>
          <t>Totale NOVEMBRE kWh Macchine</t>
        </is>
      </c>
      <c r="B47">
        <f>SUM(B4:AB4)</f>
        <v/>
      </c>
      <c r="D47" s="17" t="n">
        <v>45597</v>
      </c>
      <c r="E47" s="8">
        <f>B109*F109</f>
        <v/>
      </c>
      <c r="F47" s="8">
        <f>ICOPOWER!F3*Tabelle!F109</f>
        <v/>
      </c>
      <c r="G47" s="8">
        <f>E47-F47</f>
        <v/>
      </c>
      <c r="H47" s="8">
        <f>B61*F109</f>
        <v/>
      </c>
      <c r="I47" s="8">
        <f>F47-H47</f>
        <v/>
      </c>
      <c r="J47" s="8">
        <f>B47*F109</f>
        <v/>
      </c>
      <c r="K47" s="8">
        <f>E47-H47-J47</f>
        <v/>
      </c>
    </row>
    <row r="48" ht="14.25" customHeight="1" s="74">
      <c r="A48" t="inlineStr">
        <is>
          <t>Totale DICEMBRE kWh Macchine</t>
        </is>
      </c>
      <c r="B48">
        <f>SUM(B5:AB5)</f>
        <v/>
      </c>
      <c r="D48" s="17" t="n">
        <v>45627</v>
      </c>
      <c r="E48" s="8">
        <f>B110*F110</f>
        <v/>
      </c>
      <c r="F48" s="8">
        <f>ICOPOWER!F4*Tabelle!F110</f>
        <v/>
      </c>
      <c r="G48" s="8">
        <f>E48-F48</f>
        <v/>
      </c>
      <c r="H48" s="8">
        <f>B62*F110</f>
        <v/>
      </c>
      <c r="I48" s="8">
        <f>F48-H48</f>
        <v/>
      </c>
      <c r="J48" s="8">
        <f>B48*F110</f>
        <v/>
      </c>
      <c r="K48" s="8">
        <f>E48-H48-J48</f>
        <v/>
      </c>
    </row>
    <row r="49" ht="14.25" customHeight="1" s="74">
      <c r="A49" t="inlineStr">
        <is>
          <t>Totale GENNAIO 25 kWh Macchine</t>
        </is>
      </c>
      <c r="B49">
        <f>SUM(B6:AB6)</f>
        <v/>
      </c>
      <c r="D49" s="17" t="n">
        <v>45658</v>
      </c>
      <c r="E49" s="8">
        <f>B111*F111</f>
        <v/>
      </c>
      <c r="F49" s="8">
        <f>ICOPOWER!F5*Tabelle!F111</f>
        <v/>
      </c>
      <c r="G49" s="8">
        <f>E49-F49</f>
        <v/>
      </c>
      <c r="H49" s="8">
        <f>B63*F111</f>
        <v/>
      </c>
      <c r="I49" s="8">
        <f>F49-H49</f>
        <v/>
      </c>
      <c r="J49" s="8">
        <f>B49*F111</f>
        <v/>
      </c>
      <c r="K49" s="8">
        <f>E49-H49-J49</f>
        <v/>
      </c>
    </row>
    <row r="50" ht="14.25" customHeight="1" s="74">
      <c r="A50" t="inlineStr">
        <is>
          <t>Totale FEBBRAIO 25 kWh Macchine</t>
        </is>
      </c>
      <c r="B50">
        <f>SUM(B7:AB7)</f>
        <v/>
      </c>
      <c r="D50" s="17" t="n">
        <v>45689</v>
      </c>
      <c r="E50" s="8">
        <f>B112*F112</f>
        <v/>
      </c>
      <c r="F50" s="8">
        <f>ICOPOWER!F6*Tabelle!F112</f>
        <v/>
      </c>
      <c r="G50" s="8">
        <f>E50-F50</f>
        <v/>
      </c>
      <c r="H50" s="8">
        <f>B64*F112</f>
        <v/>
      </c>
      <c r="I50" s="8">
        <f>F50-H50</f>
        <v/>
      </c>
      <c r="J50" s="8">
        <f>B50*F112</f>
        <v/>
      </c>
      <c r="K50" s="8">
        <f>E50-H50-J50</f>
        <v/>
      </c>
    </row>
    <row r="51" ht="14.25" customHeight="1" s="74">
      <c r="A51" t="inlineStr">
        <is>
          <t>Totale MARZO 25 kWh Macchine</t>
        </is>
      </c>
      <c r="B51">
        <f>SUM(B8:AB8)</f>
        <v/>
      </c>
      <c r="D51" s="17" t="n">
        <v>45717</v>
      </c>
      <c r="E51" s="8">
        <f>B113*F113</f>
        <v/>
      </c>
      <c r="F51" s="8">
        <f>ICOPOWER!F7*Tabelle!F113</f>
        <v/>
      </c>
      <c r="G51" s="8">
        <f>E51-F51</f>
        <v/>
      </c>
      <c r="H51" s="8">
        <f>B65*F113</f>
        <v/>
      </c>
      <c r="I51" s="8">
        <f>F51-H51</f>
        <v/>
      </c>
      <c r="J51" s="8">
        <f>B51*F113</f>
        <v/>
      </c>
      <c r="K51" s="8">
        <f>E51-H51-J51</f>
        <v/>
      </c>
    </row>
    <row r="52" ht="14.25" customHeight="1" s="74">
      <c r="A52" t="inlineStr">
        <is>
          <t>Totale APRILE 25 kWh Macchine</t>
        </is>
      </c>
      <c r="B52">
        <f>SUM(B9:AB9)</f>
        <v/>
      </c>
      <c r="D52" s="17" t="n">
        <v>45748</v>
      </c>
      <c r="E52" s="8">
        <f>B114*F114</f>
        <v/>
      </c>
      <c r="F52" s="8">
        <f>ICOPOWER!F8*Tabelle!F114</f>
        <v/>
      </c>
      <c r="G52" s="8">
        <f>E52-F52</f>
        <v/>
      </c>
      <c r="H52" s="8">
        <f>B66*F114</f>
        <v/>
      </c>
      <c r="I52" s="8">
        <f>F52-H52</f>
        <v/>
      </c>
      <c r="J52" s="8">
        <f>B52*F114</f>
        <v/>
      </c>
      <c r="K52" s="8">
        <f>E52-H52-J52</f>
        <v/>
      </c>
    </row>
    <row r="53" ht="14.25" customHeight="1" s="74">
      <c r="A53" t="inlineStr">
        <is>
          <t>Totale MAGGIO 25 kWh Macchine</t>
        </is>
      </c>
      <c r="B53">
        <f>SUM(B10:AB10)</f>
        <v/>
      </c>
      <c r="D53" s="18" t="n">
        <v>45778</v>
      </c>
      <c r="E53" s="8">
        <f>B115*F115</f>
        <v/>
      </c>
      <c r="F53" s="8">
        <f>ICOPOWER!F9*Tabelle!F115</f>
        <v/>
      </c>
      <c r="G53" s="8">
        <f>E53-F53</f>
        <v/>
      </c>
      <c r="H53" s="8">
        <f>B67*F115</f>
        <v/>
      </c>
      <c r="I53" s="8">
        <f>F53-H53</f>
        <v/>
      </c>
      <c r="J53" s="8">
        <f>B53*F115</f>
        <v/>
      </c>
      <c r="K53" s="8">
        <f>E53-H53-J53</f>
        <v/>
      </c>
    </row>
    <row r="54" ht="14.25" customHeight="1" s="74">
      <c r="A54" t="inlineStr">
        <is>
          <t>Totale GIUGNO 25 kWh Macchine</t>
        </is>
      </c>
      <c r="B54">
        <f>SUM(B11:AB11)</f>
        <v/>
      </c>
      <c r="D54" s="18" t="n">
        <v>45809</v>
      </c>
      <c r="E54" s="8">
        <f>B116*F116</f>
        <v/>
      </c>
      <c r="F54" s="8">
        <f>ICOPOWER!F10*Tabelle!F116</f>
        <v/>
      </c>
      <c r="G54" s="8">
        <f>E54-F54</f>
        <v/>
      </c>
      <c r="H54" s="8">
        <f>B68*F116</f>
        <v/>
      </c>
      <c r="I54" s="8">
        <f>F54-H54</f>
        <v/>
      </c>
      <c r="J54" s="8">
        <f>B54*F116</f>
        <v/>
      </c>
      <c r="K54" s="8">
        <f>E54-H54-J54</f>
        <v/>
      </c>
    </row>
    <row r="55" ht="14.25" customHeight="1" s="74">
      <c r="A55" t="inlineStr">
        <is>
          <t>Totale LUGLIO 25 kWh Macchine</t>
        </is>
      </c>
      <c r="B55">
        <f>SUM(B12:AB12)</f>
        <v/>
      </c>
      <c r="D55" s="18" t="n">
        <v>45839</v>
      </c>
      <c r="E55" s="8">
        <f>B117*F117</f>
        <v/>
      </c>
      <c r="F55" s="8">
        <f>ICOPOWER!F11*Tabelle!F117</f>
        <v/>
      </c>
      <c r="G55" s="8">
        <f>E55-F55</f>
        <v/>
      </c>
      <c r="H55" s="8">
        <f>B69*F117</f>
        <v/>
      </c>
      <c r="I55" s="8">
        <f>F55-H55</f>
        <v/>
      </c>
      <c r="J55" s="8">
        <f>B55*F117</f>
        <v/>
      </c>
      <c r="K55" s="8">
        <f>E55-H55-J55</f>
        <v/>
      </c>
    </row>
    <row r="56" ht="14.25" customHeight="1" s="74">
      <c r="A56" t="inlineStr">
        <is>
          <t>Totale AGOSTO 25 kWh Macchine</t>
        </is>
      </c>
      <c r="B56">
        <f>SUM(B13:AB13)</f>
        <v/>
      </c>
      <c r="D56" s="18" t="n">
        <v>45870</v>
      </c>
      <c r="E56" s="8">
        <f>B118*F118</f>
        <v/>
      </c>
      <c r="F56" s="8">
        <f>ICOPOWER!F12*Tabelle!F118</f>
        <v/>
      </c>
      <c r="G56" s="8">
        <f>E56-F56</f>
        <v/>
      </c>
      <c r="H56" s="8">
        <f>B70*F118</f>
        <v/>
      </c>
      <c r="I56" s="8">
        <f>F56-H56</f>
        <v/>
      </c>
      <c r="J56" s="8">
        <f>B56*F118</f>
        <v/>
      </c>
      <c r="K56" s="8">
        <f>E56-H56-J56</f>
        <v/>
      </c>
    </row>
    <row r="57" ht="14.25" customHeight="1" s="74">
      <c r="A57" t="inlineStr">
        <is>
          <t>Totale SETTEMBRE 25 kWh Macchine</t>
        </is>
      </c>
      <c r="B57">
        <f>SUM(B14:AB14)</f>
        <v/>
      </c>
      <c r="D57" s="18" t="n">
        <v>45901</v>
      </c>
      <c r="E57" s="8">
        <f>B119*F119</f>
        <v/>
      </c>
      <c r="F57" s="8">
        <f>ICOPOWER!F13*Tabelle!F119</f>
        <v/>
      </c>
      <c r="G57" s="8">
        <f>E57-F57</f>
        <v/>
      </c>
      <c r="H57" s="8">
        <f>B71*F119</f>
        <v/>
      </c>
      <c r="I57" s="8">
        <f>F57-H57</f>
        <v/>
      </c>
      <c r="J57" s="8">
        <f>B57*F119</f>
        <v/>
      </c>
      <c r="K57" s="8">
        <f>E57-H57-J57</f>
        <v/>
      </c>
    </row>
    <row r="58" ht="14.25" customHeight="1" s="74">
      <c r="A58" t="inlineStr">
        <is>
          <t>Totale OTTOBRE 25 kWh Macchine</t>
        </is>
      </c>
      <c r="B58">
        <f>SUM(B15:AB15)</f>
        <v/>
      </c>
      <c r="D58" s="18" t="n">
        <v>45931</v>
      </c>
      <c r="E58" s="8">
        <f>B120*F120</f>
        <v/>
      </c>
      <c r="F58" s="8">
        <f>ICOPOWER!F14*Tabelle!F120</f>
        <v/>
      </c>
      <c r="G58" s="8">
        <f>E58-F58</f>
        <v/>
      </c>
      <c r="H58" s="8">
        <f>B72*F120</f>
        <v/>
      </c>
      <c r="I58" s="8">
        <f>F58-H58</f>
        <v/>
      </c>
      <c r="J58" s="8">
        <f>B58*F120</f>
        <v/>
      </c>
      <c r="K58" s="8">
        <f>E58-H58-J58</f>
        <v/>
      </c>
    </row>
    <row r="59" ht="14.25" customHeight="1" s="74">
      <c r="D59" s="19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74">
      <c r="A60" s="20" t="inlineStr">
        <is>
          <t>Lettura rilevata dal pannello compressori</t>
        </is>
      </c>
      <c r="B60" s="20" t="n"/>
      <c r="D60" s="77" t="inlineStr">
        <is>
          <t>Lettura in kWh * costo energia bolletta ENEL</t>
        </is>
      </c>
    </row>
    <row r="61" ht="14.25" customHeight="1" s="74">
      <c r="A61" s="73" t="n">
        <v>45597</v>
      </c>
      <c r="B61" t="n">
        <v>10989.38</v>
      </c>
      <c r="D61" s="76" t="n">
        <v>45597</v>
      </c>
      <c r="G61" s="12">
        <f>B61*F109</f>
        <v/>
      </c>
    </row>
    <row r="62" ht="14.25" customHeight="1" s="74">
      <c r="A62" s="73" t="n">
        <v>45627</v>
      </c>
      <c r="B62" t="n">
        <v>8629.26</v>
      </c>
      <c r="D62" s="76" t="n">
        <v>45627</v>
      </c>
      <c r="G62" s="12">
        <f>B62*F110</f>
        <v/>
      </c>
    </row>
    <row r="63" ht="14.25" customHeight="1" s="74">
      <c r="A63" s="73" t="n">
        <v>45658</v>
      </c>
      <c r="B63" t="n">
        <v>8829.129999999999</v>
      </c>
      <c r="D63" s="76" t="n">
        <v>45658</v>
      </c>
      <c r="G63" s="12">
        <f>B63*F111</f>
        <v/>
      </c>
    </row>
    <row r="64" ht="14.25" customHeight="1" s="74">
      <c r="A64" s="73" t="n">
        <v>45689</v>
      </c>
      <c r="B64" t="n">
        <v>9123.83</v>
      </c>
      <c r="D64" s="76" t="n">
        <v>45689</v>
      </c>
      <c r="G64" s="12">
        <f>B64*F112</f>
        <v/>
      </c>
    </row>
    <row r="65" ht="14.25" customHeight="1" s="74">
      <c r="A65" s="73" t="n">
        <v>45717</v>
      </c>
      <c r="B65" t="n">
        <v>10190.92</v>
      </c>
      <c r="D65" s="76" t="n">
        <v>45717</v>
      </c>
      <c r="G65" s="12">
        <f>B65*F113</f>
        <v/>
      </c>
    </row>
    <row r="66" ht="14.25" customHeight="1" s="74">
      <c r="A66" s="73" t="n">
        <v>45748</v>
      </c>
      <c r="B66" t="n">
        <v>8605.77</v>
      </c>
      <c r="D66" s="76" t="n">
        <v>45748</v>
      </c>
      <c r="G66" s="12">
        <f>B66*F114</f>
        <v/>
      </c>
    </row>
    <row r="67" ht="14.25" customHeight="1" s="74">
      <c r="A67" s="73" t="n">
        <v>45778</v>
      </c>
      <c r="B67" t="n">
        <v>5978.01</v>
      </c>
      <c r="D67" s="76" t="n">
        <v>45778</v>
      </c>
      <c r="G67" s="12">
        <f>B67*F115</f>
        <v/>
      </c>
    </row>
    <row r="68" ht="14.25" customHeight="1" s="74">
      <c r="A68" s="73" t="n">
        <v>45809</v>
      </c>
      <c r="B68" t="n">
        <v>6205.54</v>
      </c>
      <c r="D68" s="76" t="n">
        <v>45809</v>
      </c>
      <c r="G68" s="12">
        <f>B68*F116</f>
        <v/>
      </c>
    </row>
    <row r="69" ht="14.25" customHeight="1" s="74">
      <c r="A69" s="73" t="n">
        <v>45839</v>
      </c>
      <c r="B69" s="22" t="n">
        <v>6000</v>
      </c>
      <c r="C69" t="inlineStr">
        <is>
          <t>ipotesi stimato</t>
        </is>
      </c>
      <c r="D69" s="76" t="n">
        <v>45839</v>
      </c>
      <c r="G69" s="12">
        <f>B69*F117</f>
        <v/>
      </c>
    </row>
    <row r="70" ht="14.25" customHeight="1" s="74">
      <c r="A70" s="73" t="n">
        <v>45870</v>
      </c>
      <c r="B70" s="22" t="n">
        <v>6000</v>
      </c>
      <c r="D70" s="76" t="n">
        <v>45870</v>
      </c>
      <c r="G70" s="12">
        <f>B70*F118</f>
        <v/>
      </c>
    </row>
    <row r="71" ht="14.25" customHeight="1" s="74">
      <c r="A71" s="73" t="n">
        <v>45901</v>
      </c>
      <c r="B71" s="22" t="n">
        <v>6000</v>
      </c>
      <c r="D71" s="76" t="n">
        <v>45901</v>
      </c>
      <c r="G71" s="12">
        <f>B71*F119</f>
        <v/>
      </c>
    </row>
    <row r="72" ht="14.25" customHeight="1" s="74">
      <c r="A72" s="73" t="n">
        <v>45931</v>
      </c>
      <c r="B72" s="22" t="n">
        <v>6001</v>
      </c>
      <c r="D72" s="76" t="n">
        <v>45931</v>
      </c>
      <c r="G72" s="12">
        <f>B72*F120</f>
        <v/>
      </c>
    </row>
    <row r="73" ht="14.25" customHeight="1" s="74">
      <c r="D73" s="82" t="n"/>
    </row>
    <row r="74" ht="14.25" customHeight="1" s="74">
      <c r="A74" s="20" t="inlineStr">
        <is>
          <t>Consumi kWh * Prezzo unitario energia bolletta ENEL</t>
        </is>
      </c>
      <c r="B74" s="20" t="n"/>
      <c r="D74" s="77" t="inlineStr">
        <is>
          <t>Dato letto dalla bolletta ENEL</t>
        </is>
      </c>
    </row>
    <row r="75" ht="14.25" customHeight="1" s="74">
      <c r="A75" s="76" t="n">
        <v>45292</v>
      </c>
      <c r="D75" s="73" t="n">
        <v>45292</v>
      </c>
      <c r="G75" s="12" t="n">
        <v>16601.39</v>
      </c>
    </row>
    <row r="76" ht="14.25" customHeight="1" s="74">
      <c r="A76" s="76" t="n">
        <v>45323</v>
      </c>
      <c r="D76" s="73" t="n">
        <v>45323</v>
      </c>
      <c r="G76" s="12" t="n">
        <v>16934</v>
      </c>
    </row>
    <row r="77" ht="14.25" customHeight="1" s="74">
      <c r="A77" s="76" t="n">
        <v>45352</v>
      </c>
      <c r="D77" s="73" t="n">
        <v>45352</v>
      </c>
      <c r="G77" s="12" t="n">
        <v>12419.74</v>
      </c>
    </row>
    <row r="78" ht="14.25" customHeight="1" s="74">
      <c r="A78" s="76" t="n">
        <v>45383</v>
      </c>
      <c r="D78" s="73" t="n">
        <v>45383</v>
      </c>
      <c r="G78" s="12" t="n">
        <v>10948.47</v>
      </c>
    </row>
    <row r="79" ht="14.25" customHeight="1" s="74">
      <c r="A79" s="76" t="n">
        <v>45413</v>
      </c>
      <c r="D79" s="73" t="n">
        <v>45413</v>
      </c>
      <c r="G79" s="12" t="n">
        <v>12868.58</v>
      </c>
    </row>
    <row r="80" ht="14.25" customHeight="1" s="74">
      <c r="A80" s="76" t="n">
        <v>45444</v>
      </c>
      <c r="D80" s="73" t="n">
        <v>45444</v>
      </c>
      <c r="G80" s="12" t="n">
        <v>11473.9</v>
      </c>
    </row>
    <row r="81" ht="14.25" customHeight="1" s="74">
      <c r="A81" s="76" t="n">
        <v>45474</v>
      </c>
      <c r="D81" s="73" t="n">
        <v>45474</v>
      </c>
      <c r="G81" s="12" t="n">
        <v>19396.73</v>
      </c>
    </row>
    <row r="82" ht="14.25" customHeight="1" s="74">
      <c r="A82" s="76" t="n">
        <v>45505</v>
      </c>
      <c r="D82" s="73" t="n">
        <v>45505</v>
      </c>
      <c r="G82" s="12" t="n">
        <v>13651.04</v>
      </c>
    </row>
    <row r="83" ht="14.25" customHeight="1" s="74">
      <c r="A83" s="76" t="n">
        <v>45536</v>
      </c>
      <c r="D83" s="73" t="n">
        <v>45536</v>
      </c>
      <c r="G83" s="12" t="n">
        <v>15277.15</v>
      </c>
    </row>
    <row r="84" ht="14.25" customHeight="1" s="74">
      <c r="A84" s="76" t="n">
        <v>45566</v>
      </c>
      <c r="D84" s="73" t="n">
        <v>45566</v>
      </c>
      <c r="G84" s="12" t="n">
        <v>15523.99</v>
      </c>
    </row>
    <row r="85" ht="14.25" customHeight="1" s="74">
      <c r="A85" s="76" t="n">
        <v>45597</v>
      </c>
      <c r="B85" s="12">
        <f>B47*F109</f>
        <v/>
      </c>
      <c r="D85" s="73" t="n">
        <v>45597</v>
      </c>
      <c r="G85" s="12" t="n">
        <v>19751.41</v>
      </c>
    </row>
    <row r="86" ht="14.25" customHeight="1" s="74">
      <c r="A86" s="76" t="n">
        <v>45627</v>
      </c>
      <c r="B86" s="12">
        <f>B48*F110</f>
        <v/>
      </c>
      <c r="D86" s="73" t="n">
        <v>45627</v>
      </c>
      <c r="G86" s="12" t="n">
        <v>17063.94</v>
      </c>
    </row>
    <row r="87" ht="14.25" customHeight="1" s="74">
      <c r="A87" s="76" t="n">
        <v>45658</v>
      </c>
      <c r="B87" s="12">
        <f>B49*F111</f>
        <v/>
      </c>
      <c r="D87" s="73" t="n">
        <v>45658</v>
      </c>
      <c r="G87" s="12" t="n">
        <v>20875.39</v>
      </c>
    </row>
    <row r="88" ht="14.25" customHeight="1" s="74">
      <c r="A88" s="76" t="n">
        <v>45689</v>
      </c>
      <c r="B88" s="12">
        <f>B50*F112</f>
        <v/>
      </c>
      <c r="D88" s="73" t="n">
        <v>45689</v>
      </c>
      <c r="G88" s="12" t="n">
        <v>20173.7</v>
      </c>
    </row>
    <row r="89" ht="14.25" customHeight="1" s="74">
      <c r="A89" s="76" t="n">
        <v>45717</v>
      </c>
      <c r="B89" s="12">
        <f>B51*F113</f>
        <v/>
      </c>
      <c r="D89" s="73" t="n">
        <v>45717</v>
      </c>
      <c r="G89" s="12" t="n">
        <v>16648.58</v>
      </c>
    </row>
    <row r="90" ht="14.25" customHeight="1" s="74">
      <c r="A90" s="76" t="n">
        <v>45748</v>
      </c>
      <c r="B90" s="12">
        <f>B52*F114</f>
        <v/>
      </c>
      <c r="D90" s="73" t="n">
        <v>45748</v>
      </c>
      <c r="G90" s="12" t="n">
        <v>10956.7</v>
      </c>
    </row>
    <row r="91" ht="14.25" customHeight="1" s="74">
      <c r="A91" s="76" t="n">
        <v>45778</v>
      </c>
      <c r="B91" s="12">
        <f>B53*F115</f>
        <v/>
      </c>
      <c r="D91" s="73" t="n">
        <v>45778</v>
      </c>
      <c r="G91" s="12" t="n">
        <v>7932.95</v>
      </c>
    </row>
    <row r="92" ht="14.25" customHeight="1" s="74">
      <c r="A92" s="76" t="n">
        <v>45809</v>
      </c>
      <c r="B92" s="12">
        <f>B54*F116</f>
        <v/>
      </c>
      <c r="D92" s="73" t="n">
        <v>45809</v>
      </c>
      <c r="G92" s="12" t="n">
        <v>11949.42</v>
      </c>
    </row>
    <row r="93" ht="14.25" customHeight="1" s="74">
      <c r="A93" s="76" t="n">
        <v>45839</v>
      </c>
      <c r="B93" s="12">
        <f>B55*F117</f>
        <v/>
      </c>
      <c r="D93" s="73" t="n">
        <v>45839</v>
      </c>
      <c r="G93" s="12" t="n">
        <v>15262.33</v>
      </c>
    </row>
    <row r="94" ht="14.25" customHeight="1" s="74">
      <c r="A94" s="76" t="n">
        <v>45870</v>
      </c>
      <c r="B94" s="12">
        <f>B56*F118</f>
        <v/>
      </c>
      <c r="D94" s="73" t="n">
        <v>45870</v>
      </c>
      <c r="G94" s="12" t="n">
        <v>5768.63</v>
      </c>
    </row>
    <row r="95" ht="14.25" customHeight="1" s="74">
      <c r="A95" s="76" t="n">
        <v>45901</v>
      </c>
      <c r="B95" s="12">
        <f>B57*F119</f>
        <v/>
      </c>
      <c r="D95" s="73" t="n">
        <v>45901</v>
      </c>
      <c r="G95" s="12" t="n">
        <v>12897.86</v>
      </c>
    </row>
    <row r="96" ht="14.25" customHeight="1" s="74">
      <c r="A96" s="76" t="n">
        <v>45931</v>
      </c>
      <c r="B96" s="12">
        <f>B58*F120</f>
        <v/>
      </c>
      <c r="D96" s="73" t="n">
        <v>45931</v>
      </c>
      <c r="G96" s="12" t="n">
        <v>13101.09</v>
      </c>
    </row>
    <row r="97" ht="14.25" customHeight="1" s="74">
      <c r="A97" s="14" t="n"/>
      <c r="B97" s="12" t="n"/>
    </row>
    <row r="98" ht="14.25" customHeight="1" s="74">
      <c r="A98" s="75" t="inlineStr">
        <is>
          <t>Consumi rilevati ENEL kWh</t>
        </is>
      </c>
      <c r="D98" s="75" t="inlineStr">
        <is>
          <t xml:space="preserve">Costo medio per kWh </t>
        </is>
      </c>
    </row>
    <row r="99" ht="14.25" customHeight="1" s="74">
      <c r="A99" s="73" t="n">
        <v>45292</v>
      </c>
      <c r="B99" t="n">
        <v>64934</v>
      </c>
      <c r="D99" s="73" t="n">
        <v>45292</v>
      </c>
      <c r="F99" s="46" t="n">
        <v>0.2557</v>
      </c>
    </row>
    <row r="100" ht="14.25" customHeight="1" s="74">
      <c r="A100" s="73" t="n">
        <v>45323</v>
      </c>
      <c r="B100" t="n">
        <v>71197</v>
      </c>
      <c r="D100" s="73" t="n">
        <v>45323</v>
      </c>
      <c r="F100" s="46" t="n">
        <v>0.2378</v>
      </c>
    </row>
    <row r="101" ht="14.25" customHeight="1" s="74">
      <c r="A101" s="73" t="n">
        <v>45352</v>
      </c>
      <c r="B101" t="n">
        <v>51152</v>
      </c>
      <c r="D101" s="73" t="n">
        <v>45352</v>
      </c>
      <c r="F101" s="46" t="n">
        <v>0.2428</v>
      </c>
    </row>
    <row r="102" ht="14.25" customHeight="1" s="74">
      <c r="A102" s="73" t="n">
        <v>45383</v>
      </c>
      <c r="B102" t="n">
        <v>45316</v>
      </c>
      <c r="D102" s="73" t="n">
        <v>45383</v>
      </c>
      <c r="F102" s="46" t="n">
        <v>0.2416</v>
      </c>
    </row>
    <row r="103" ht="14.25" customHeight="1" s="74">
      <c r="A103" s="73" t="n">
        <v>45413</v>
      </c>
      <c r="B103" t="n">
        <v>51330</v>
      </c>
      <c r="D103" s="73" t="n">
        <v>45413</v>
      </c>
      <c r="F103" s="46" t="n">
        <v>0.2507</v>
      </c>
    </row>
    <row r="104" ht="14.25" customHeight="1" s="74">
      <c r="A104" s="73" t="n">
        <v>45444</v>
      </c>
      <c r="B104" t="n">
        <v>42151</v>
      </c>
      <c r="D104" s="73" t="n">
        <v>45444</v>
      </c>
      <c r="F104" s="46" t="n">
        <v>0.2722</v>
      </c>
    </row>
    <row r="105" ht="14.25" customHeight="1" s="74">
      <c r="A105" s="73" t="n">
        <v>45474</v>
      </c>
      <c r="B105" t="n">
        <v>67581</v>
      </c>
      <c r="D105" s="73" t="n">
        <v>45474</v>
      </c>
      <c r="F105" s="46" t="n">
        <v>0.287</v>
      </c>
    </row>
    <row r="106" ht="14.25" customHeight="1" s="74">
      <c r="A106" s="73" t="n">
        <v>45505</v>
      </c>
      <c r="B106" t="n">
        <v>44796</v>
      </c>
      <c r="D106" s="73" t="n">
        <v>45505</v>
      </c>
      <c r="F106" s="46" t="n">
        <v>0.3047</v>
      </c>
    </row>
    <row r="107" ht="14.25" customHeight="1" s="74">
      <c r="A107" s="73" t="n">
        <v>45536</v>
      </c>
      <c r="B107" t="n">
        <v>52599</v>
      </c>
      <c r="D107" s="73" t="n">
        <v>45536</v>
      </c>
      <c r="F107" s="46" t="n">
        <v>0.2904</v>
      </c>
    </row>
    <row r="108" ht="14.25" customHeight="1" s="74">
      <c r="A108" s="73" t="n">
        <v>45566</v>
      </c>
      <c r="B108" t="n">
        <v>54362</v>
      </c>
      <c r="D108" s="73" t="n">
        <v>45566</v>
      </c>
      <c r="F108" s="46" t="n">
        <v>0.2856</v>
      </c>
    </row>
    <row r="109" ht="14.25" customHeight="1" s="74">
      <c r="A109" s="73" t="n">
        <v>45597</v>
      </c>
      <c r="B109" t="n">
        <v>64157</v>
      </c>
      <c r="D109" s="73" t="n">
        <v>45597</v>
      </c>
      <c r="F109" s="46" t="n">
        <v>0.307</v>
      </c>
    </row>
    <row r="110" ht="14.25" customHeight="1" s="74">
      <c r="A110" s="73" t="n">
        <v>45627</v>
      </c>
      <c r="B110" t="n">
        <v>51593</v>
      </c>
      <c r="D110" s="73" t="n">
        <v>45627</v>
      </c>
      <c r="F110" s="46" t="n">
        <v>0.331</v>
      </c>
      <c r="L110" s="12" t="n"/>
      <c r="M110" s="12" t="n"/>
    </row>
    <row r="111" ht="14.25" customHeight="1" s="74">
      <c r="A111" s="73" t="n">
        <v>45658</v>
      </c>
      <c r="B111" t="n">
        <v>61904</v>
      </c>
      <c r="D111" s="73" t="n">
        <v>45658</v>
      </c>
      <c r="F111" s="46" t="n">
        <v>0.335</v>
      </c>
    </row>
    <row r="112" ht="14.25" customHeight="1" s="74">
      <c r="A112" s="73" t="n">
        <v>45689</v>
      </c>
      <c r="B112" t="n">
        <v>60366</v>
      </c>
      <c r="D112" s="73" t="n">
        <v>45689</v>
      </c>
      <c r="F112" s="46" t="n">
        <v>0.334</v>
      </c>
    </row>
    <row r="113" ht="14.25" customHeight="1" s="74">
      <c r="A113" s="73" t="n">
        <v>45717</v>
      </c>
      <c r="B113" t="n">
        <v>58209</v>
      </c>
      <c r="D113" s="73" t="n">
        <v>45717</v>
      </c>
      <c r="F113" s="46" t="n">
        <v>0.286</v>
      </c>
      <c r="G113" s="11" t="n"/>
    </row>
    <row r="114" ht="14.25" customHeight="1" s="74">
      <c r="A114" s="73" t="n">
        <v>45748</v>
      </c>
      <c r="B114" t="n">
        <v>41269</v>
      </c>
      <c r="D114" s="73" t="n">
        <v>45748</v>
      </c>
      <c r="F114" s="46" t="n">
        <v>0.2655</v>
      </c>
      <c r="G114" s="11" t="n"/>
    </row>
    <row r="115" ht="14.25" customHeight="1" s="74">
      <c r="A115" s="73" t="n">
        <v>45778</v>
      </c>
      <c r="B115" t="n">
        <v>30809</v>
      </c>
      <c r="D115" s="73" t="n">
        <v>45778</v>
      </c>
      <c r="F115" s="46" t="n">
        <v>0.2575</v>
      </c>
      <c r="G115" s="11" t="n"/>
    </row>
    <row r="116" ht="14.25" customHeight="1" s="74">
      <c r="A116" s="73" t="n">
        <v>45809</v>
      </c>
      <c r="B116" t="n">
        <v>33644</v>
      </c>
      <c r="D116" s="73" t="n">
        <v>45809</v>
      </c>
      <c r="F116" s="46" t="n">
        <v>0.355</v>
      </c>
      <c r="G116" s="11" t="n"/>
    </row>
    <row r="117" ht="14.25" customHeight="1" s="74">
      <c r="A117" s="73" t="n">
        <v>45839</v>
      </c>
      <c r="B117" t="n">
        <v>51483</v>
      </c>
      <c r="D117" s="73" t="n">
        <v>45839</v>
      </c>
      <c r="F117" s="46" t="n">
        <v>0.296</v>
      </c>
      <c r="G117" s="11" t="n"/>
    </row>
    <row r="118" ht="14.25" customHeight="1" s="74">
      <c r="A118" s="73" t="n">
        <v>45870</v>
      </c>
      <c r="B118" t="n">
        <v>17650</v>
      </c>
      <c r="D118" s="73" t="n">
        <v>45870</v>
      </c>
      <c r="F118" s="46" t="n">
        <v>0.3268</v>
      </c>
    </row>
    <row r="119" ht="14.25" customHeight="1" s="74">
      <c r="A119" s="73" t="n">
        <v>45901</v>
      </c>
      <c r="B119" t="n">
        <v>47214</v>
      </c>
      <c r="D119" s="73" t="n">
        <v>45901</v>
      </c>
      <c r="F119" s="46" t="n">
        <v>0.2732</v>
      </c>
      <c r="G119" s="12" t="n"/>
      <c r="H119" s="12" t="n"/>
      <c r="I119" s="12" t="n"/>
      <c r="J119" s="12" t="n"/>
      <c r="K119" s="12" t="n"/>
    </row>
    <row r="120" ht="14.25" customHeight="1" s="74">
      <c r="A120" s="73" t="n">
        <v>45931</v>
      </c>
      <c r="B120" t="n">
        <v>47533</v>
      </c>
      <c r="D120" s="73" t="n">
        <v>45931</v>
      </c>
      <c r="F120" s="46" t="n">
        <v>0.2134</v>
      </c>
      <c r="G120" s="12" t="n"/>
      <c r="H120" s="12" t="n"/>
      <c r="I120" s="12" t="n"/>
      <c r="J120" s="12" t="n"/>
      <c r="K120" s="12" t="n"/>
    </row>
    <row r="121" ht="14.25" customHeight="1" s="74">
      <c r="C121" s="11" t="n"/>
      <c r="D121" s="14" t="n"/>
      <c r="E121" s="12" t="n"/>
    </row>
    <row r="122" ht="14.25" customHeight="1" s="74">
      <c r="C122" s="11" t="n"/>
      <c r="D122" s="14" t="n"/>
      <c r="E122" s="12" t="n"/>
    </row>
    <row r="123" ht="14.25" customHeight="1" s="74">
      <c r="C123" s="11" t="n"/>
      <c r="D123" s="14" t="n"/>
      <c r="E123" s="12" t="n"/>
    </row>
    <row r="124" ht="14.25" customHeight="1" s="74">
      <c r="C124" s="11" t="n"/>
      <c r="D124" s="14" t="n"/>
      <c r="E124" s="12" t="n"/>
    </row>
    <row r="125" ht="14.25" customHeight="1" s="74">
      <c r="C125" s="11" t="n"/>
      <c r="D125" s="14" t="n"/>
      <c r="E125" s="12" t="n"/>
    </row>
    <row r="126" ht="14.25" customHeight="1" s="74">
      <c r="C126" s="11" t="n"/>
      <c r="D126" s="14" t="n"/>
      <c r="E126" s="12" t="n"/>
    </row>
    <row r="127" ht="14.25" customHeight="1" s="74">
      <c r="C127" s="11" t="n"/>
      <c r="D127" s="14" t="n"/>
      <c r="E127" s="12" t="n"/>
    </row>
    <row r="128" ht="14.25" customHeight="1" s="74">
      <c r="C128" s="11" t="n"/>
      <c r="D128" s="14" t="n"/>
      <c r="E128" s="12" t="n"/>
    </row>
    <row r="140" ht="14.25" customHeight="1" s="74">
      <c r="E140" s="12" t="n"/>
    </row>
    <row r="141" ht="14.25" customHeight="1" s="74">
      <c r="E141" s="12" t="n"/>
    </row>
  </sheetData>
  <mergeCells count="47">
    <mergeCell ref="I45:I46"/>
    <mergeCell ref="D76:F76"/>
    <mergeCell ref="A98:B98"/>
    <mergeCell ref="D61:F61"/>
    <mergeCell ref="D74:G74"/>
    <mergeCell ref="D70:F70"/>
    <mergeCell ref="D66:F66"/>
    <mergeCell ref="C45:C46"/>
    <mergeCell ref="D98:G98"/>
    <mergeCell ref="D75:F75"/>
    <mergeCell ref="D91:F91"/>
    <mergeCell ref="K45:K46"/>
    <mergeCell ref="D78:F78"/>
    <mergeCell ref="D87:F87"/>
    <mergeCell ref="D72:F72"/>
    <mergeCell ref="F45:F46"/>
    <mergeCell ref="D71:F71"/>
    <mergeCell ref="D93:F93"/>
    <mergeCell ref="D62:F62"/>
    <mergeCell ref="D60:G60"/>
    <mergeCell ref="H45:H46"/>
    <mergeCell ref="D92:F92"/>
    <mergeCell ref="J45:J46"/>
    <mergeCell ref="D68:F68"/>
    <mergeCell ref="D83:F83"/>
    <mergeCell ref="D73:F73"/>
    <mergeCell ref="D64:F64"/>
    <mergeCell ref="D82:F82"/>
    <mergeCell ref="D89:F89"/>
    <mergeCell ref="D67:F67"/>
    <mergeCell ref="D94:F94"/>
    <mergeCell ref="D79:F79"/>
    <mergeCell ref="D85:F85"/>
    <mergeCell ref="D88:F88"/>
    <mergeCell ref="E45:E46"/>
    <mergeCell ref="G45:G46"/>
    <mergeCell ref="D69:F69"/>
    <mergeCell ref="D63:F63"/>
    <mergeCell ref="D81:F81"/>
    <mergeCell ref="D90:F90"/>
    <mergeCell ref="D80:F80"/>
    <mergeCell ref="D84:F84"/>
    <mergeCell ref="D65:F65"/>
    <mergeCell ref="D96:F96"/>
    <mergeCell ref="D86:F86"/>
    <mergeCell ref="D77:F77"/>
    <mergeCell ref="D95:F95"/>
  </mergeCells>
  <pageMargins left="0.7" right="0.7" top="0.75" bottom="0.75" header="0.3" footer="0.3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2:F14"/>
  <sheetViews>
    <sheetView workbookViewId="0">
      <selection activeCell="I22" sqref="I22"/>
    </sheetView>
  </sheetViews>
  <sheetFormatPr baseColWidth="8" defaultRowHeight="15"/>
  <cols>
    <col width="21" customWidth="1" style="74" min="6" max="6"/>
  </cols>
  <sheetData>
    <row r="1" ht="15.75" customHeight="1" s="74" thickBot="1"/>
    <row r="2" ht="15.75" customHeight="1" s="74" thickBot="1">
      <c r="B2" s="59" t="inlineStr">
        <is>
          <t>Consumi</t>
        </is>
      </c>
      <c r="C2" s="60" t="inlineStr">
        <is>
          <t>PME QT. kWh</t>
        </is>
      </c>
      <c r="D2" s="60" t="inlineStr">
        <is>
          <t>GG mancanti</t>
        </is>
      </c>
      <c r="E2" s="60" t="inlineStr">
        <is>
          <t>Tot. Consumo</t>
        </is>
      </c>
      <c r="F2" s="61" t="inlineStr">
        <is>
          <t>Tot. Finale (post-setting ICOPOWER) kWh</t>
        </is>
      </c>
    </row>
    <row r="3">
      <c r="B3" s="62" t="inlineStr">
        <is>
          <t>nov</t>
        </is>
      </c>
      <c r="C3" t="n">
        <v>187</v>
      </c>
      <c r="D3" t="n">
        <v>18</v>
      </c>
      <c r="E3" s="89">
        <f>C3/18*30</f>
        <v/>
      </c>
      <c r="F3" s="90">
        <f>E3*200</f>
        <v/>
      </c>
    </row>
    <row r="4" ht="15.75" customHeight="1" s="74" thickBot="1">
      <c r="B4" s="65" t="inlineStr">
        <is>
          <t>dic</t>
        </is>
      </c>
      <c r="C4" s="66" t="n">
        <v>212</v>
      </c>
      <c r="D4" s="66" t="n">
        <v>31</v>
      </c>
      <c r="E4" s="91" t="n">
        <v>212</v>
      </c>
      <c r="F4" s="92">
        <f>E4*200</f>
        <v/>
      </c>
    </row>
    <row r="5" ht="15.75" customHeight="1" s="74" thickBot="1">
      <c r="B5" s="65" t="inlineStr">
        <is>
          <t>gen</t>
        </is>
      </c>
      <c r="C5" s="66" t="n">
        <v>212</v>
      </c>
      <c r="D5" s="66" t="n">
        <v>31</v>
      </c>
      <c r="E5" s="91" t="n"/>
      <c r="F5" s="92" t="n">
        <v>29455</v>
      </c>
    </row>
    <row r="6" ht="15.75" customHeight="1" s="74" thickBot="1">
      <c r="B6" s="65" t="inlineStr">
        <is>
          <t>feb</t>
        </is>
      </c>
      <c r="C6" s="66" t="n"/>
      <c r="D6" s="66" t="n"/>
      <c r="E6" s="91" t="n"/>
      <c r="F6" s="92" t="n">
        <v>52438</v>
      </c>
    </row>
    <row r="7" ht="15.75" customHeight="1" s="74" thickBot="1">
      <c r="B7" s="65" t="inlineStr">
        <is>
          <t>mar</t>
        </is>
      </c>
      <c r="C7" s="66" t="n"/>
      <c r="D7" s="66" t="n"/>
      <c r="E7" s="91" t="n"/>
      <c r="F7" s="92" t="n">
        <v>49294</v>
      </c>
    </row>
    <row r="8" ht="15.75" customHeight="1" s="74" thickBot="1">
      <c r="B8" s="65" t="inlineStr">
        <is>
          <t>apr</t>
        </is>
      </c>
      <c r="C8" s="66" t="n"/>
      <c r="D8" s="66" t="n"/>
      <c r="E8" s="91" t="n"/>
      <c r="F8" s="92" t="n">
        <v>33348</v>
      </c>
    </row>
    <row r="9" ht="15.75" customHeight="1" s="74" thickBot="1">
      <c r="B9" s="65" t="inlineStr">
        <is>
          <t>mag</t>
        </is>
      </c>
      <c r="C9" s="66" t="n"/>
      <c r="D9" s="66" t="n"/>
      <c r="E9" s="91" t="n"/>
      <c r="F9" s="92" t="n">
        <v>24027</v>
      </c>
    </row>
    <row r="10" ht="15.75" customHeight="1" s="74" thickBot="1">
      <c r="B10" s="65" t="inlineStr">
        <is>
          <t>giu</t>
        </is>
      </c>
      <c r="C10" s="66" t="n"/>
      <c r="D10" s="66" t="n"/>
      <c r="E10" s="91" t="n"/>
      <c r="F10" s="92" t="n">
        <v>33661</v>
      </c>
    </row>
    <row r="11" ht="15.75" customHeight="1" s="74" thickBot="1">
      <c r="B11" s="65" t="inlineStr">
        <is>
          <t>lug</t>
        </is>
      </c>
      <c r="C11" s="66" t="n"/>
      <c r="D11" s="66" t="n"/>
      <c r="E11" s="91" t="n"/>
      <c r="F11" s="92" t="n">
        <v>42155</v>
      </c>
    </row>
    <row r="12" ht="15.75" customHeight="1" s="74" thickBot="1">
      <c r="B12" s="65" t="inlineStr">
        <is>
          <t>ago</t>
        </is>
      </c>
      <c r="C12" s="66" t="n"/>
      <c r="D12" s="66" t="n"/>
      <c r="E12" s="91" t="n"/>
      <c r="F12" s="92" t="n">
        <v>13595</v>
      </c>
    </row>
    <row r="13" ht="15.75" customHeight="1" s="74" thickBot="1">
      <c r="B13" s="65" t="inlineStr">
        <is>
          <t>set</t>
        </is>
      </c>
      <c r="C13" s="66" t="n"/>
      <c r="D13" s="66" t="n"/>
      <c r="E13" s="91" t="n"/>
      <c r="F13" s="92" t="n">
        <v>38632</v>
      </c>
    </row>
    <row r="14" ht="15.75" customHeight="1" s="74" thickBot="1">
      <c r="B14" s="65" t="inlineStr">
        <is>
          <t>ott</t>
        </is>
      </c>
      <c r="C14" s="66" t="n"/>
      <c r="D14" s="66" t="n"/>
      <c r="E14" s="91" t="n"/>
      <c r="F14" s="92" t="n">
        <v>39250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7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</t>
        </is>
      </c>
      <c r="B1" t="inlineStr">
        <is>
          <t>mese</t>
        </is>
      </c>
      <c r="C1" t="inlineStr">
        <is>
          <t>macchina</t>
        </is>
      </c>
      <c r="D1" t="inlineStr">
        <is>
          <t>ore_produzione</t>
        </is>
      </c>
      <c r="E1" t="inlineStr">
        <is>
          <t>pezzi_prodotti</t>
        </is>
      </c>
      <c r="F1" t="inlineStr">
        <is>
          <t>consumo_kwh</t>
        </is>
      </c>
      <c r="G1" t="inlineStr">
        <is>
          <t>lettura</t>
        </is>
      </c>
      <c r="H1" t="inlineStr">
        <is>
          <t>costo_energia_per_kwh</t>
        </is>
      </c>
      <c r="I1" t="inlineStr">
        <is>
          <t>costo_macchina</t>
        </is>
      </c>
      <c r="J1" t="inlineStr">
        <is>
          <t>consumo_bolletta_kwh</t>
        </is>
      </c>
      <c r="K1" t="inlineStr">
        <is>
          <t>totale_bolletta</t>
        </is>
      </c>
    </row>
    <row r="2">
      <c r="A2" t="n">
        <v>2024</v>
      </c>
      <c r="B2" t="n">
        <v>1</v>
      </c>
      <c r="C2" t="inlineStr">
        <is>
          <t>ASS1</t>
        </is>
      </c>
      <c r="D2" t="n">
        <v>151.33</v>
      </c>
      <c r="E2" t="n">
        <v>127305</v>
      </c>
      <c r="F2" t="n">
        <v/>
      </c>
      <c r="G2" t="n">
        <v/>
      </c>
      <c r="H2" t="n">
        <v>0.2557</v>
      </c>
      <c r="I2" t="n">
        <v/>
      </c>
      <c r="J2" t="n">
        <v>64934</v>
      </c>
      <c r="K2" t="n">
        <v>16601.39</v>
      </c>
    </row>
    <row r="3">
      <c r="A3" t="n">
        <v>2024</v>
      </c>
      <c r="B3" t="n">
        <v>2</v>
      </c>
      <c r="C3" t="inlineStr">
        <is>
          <t>ASS1</t>
        </is>
      </c>
      <c r="D3" t="n">
        <v>130.12</v>
      </c>
      <c r="E3" t="n">
        <v>117666</v>
      </c>
      <c r="F3" t="n">
        <v/>
      </c>
      <c r="G3" t="n">
        <v/>
      </c>
      <c r="H3" t="n">
        <v>0.2378</v>
      </c>
      <c r="I3" t="n">
        <v/>
      </c>
      <c r="J3" t="n">
        <v>71197</v>
      </c>
      <c r="K3" t="n">
        <v>16934</v>
      </c>
    </row>
    <row r="4">
      <c r="A4" t="n">
        <v>2024</v>
      </c>
      <c r="B4" t="n">
        <v>3</v>
      </c>
      <c r="C4" t="inlineStr">
        <is>
          <t>ASS1</t>
        </is>
      </c>
      <c r="D4" t="n">
        <v>80.25</v>
      </c>
      <c r="E4" t="n">
        <v>54604</v>
      </c>
      <c r="F4" t="n">
        <v/>
      </c>
      <c r="G4" t="n">
        <v/>
      </c>
      <c r="H4" t="n">
        <v>0.2428</v>
      </c>
      <c r="I4" t="n">
        <v/>
      </c>
      <c r="J4" t="n">
        <v>51152</v>
      </c>
      <c r="K4" t="n">
        <v>12419.74</v>
      </c>
    </row>
    <row r="5">
      <c r="A5" t="n">
        <v>2024</v>
      </c>
      <c r="B5" t="n">
        <v>4</v>
      </c>
      <c r="C5" t="inlineStr">
        <is>
          <t>ASS1</t>
        </is>
      </c>
      <c r="D5" t="n">
        <v>81.52</v>
      </c>
      <c r="E5" t="n">
        <v>59880</v>
      </c>
      <c r="F5" t="n">
        <v/>
      </c>
      <c r="G5" t="n">
        <v/>
      </c>
      <c r="H5" t="n">
        <v>0.2416</v>
      </c>
      <c r="I5" t="n">
        <v/>
      </c>
      <c r="J5" t="n">
        <v>45316</v>
      </c>
      <c r="K5" t="n">
        <v>10948.47</v>
      </c>
    </row>
    <row r="6">
      <c r="A6" t="n">
        <v>2024</v>
      </c>
      <c r="B6" t="n">
        <v>5</v>
      </c>
      <c r="C6" t="inlineStr">
        <is>
          <t>ASS1</t>
        </is>
      </c>
      <c r="D6" t="n">
        <v>124.43</v>
      </c>
      <c r="E6" t="n">
        <v>86479</v>
      </c>
      <c r="F6" t="n">
        <v/>
      </c>
      <c r="G6" t="n">
        <v/>
      </c>
      <c r="H6" t="n">
        <v>0.2507</v>
      </c>
      <c r="I6" t="n">
        <v/>
      </c>
      <c r="J6" t="n">
        <v>51330</v>
      </c>
      <c r="K6" t="n">
        <v>12868.58</v>
      </c>
    </row>
    <row r="7">
      <c r="A7" t="n">
        <v>2024</v>
      </c>
      <c r="B7" t="n">
        <v>6</v>
      </c>
      <c r="C7" t="inlineStr">
        <is>
          <t>ASS1</t>
        </is>
      </c>
      <c r="D7" t="n">
        <v>91.02</v>
      </c>
      <c r="E7" t="n">
        <v>76618</v>
      </c>
      <c r="F7" t="n">
        <v/>
      </c>
      <c r="G7" t="n">
        <v/>
      </c>
      <c r="H7" t="n">
        <v>0.2722</v>
      </c>
      <c r="I7" t="n">
        <v/>
      </c>
      <c r="J7" t="n">
        <v>42151</v>
      </c>
      <c r="K7" t="n">
        <v>11473.9</v>
      </c>
    </row>
    <row r="8">
      <c r="A8" t="n">
        <v>2024</v>
      </c>
      <c r="B8" t="n">
        <v>7</v>
      </c>
      <c r="C8" t="inlineStr">
        <is>
          <t>ASS1</t>
        </is>
      </c>
      <c r="D8" t="n">
        <v>88.15000000000001</v>
      </c>
      <c r="E8" t="n">
        <v>60539</v>
      </c>
      <c r="F8" t="n">
        <v/>
      </c>
      <c r="G8" t="n">
        <v/>
      </c>
      <c r="H8" t="n">
        <v>0.287</v>
      </c>
      <c r="I8" t="n">
        <v/>
      </c>
      <c r="J8" t="n">
        <v>67581</v>
      </c>
      <c r="K8" t="n">
        <v>19396.73</v>
      </c>
    </row>
    <row r="9">
      <c r="A9" t="n">
        <v>2024</v>
      </c>
      <c r="B9" t="n">
        <v>8</v>
      </c>
      <c r="C9" t="inlineStr">
        <is>
          <t>ASS1</t>
        </is>
      </c>
      <c r="D9" t="n">
        <v>30.53</v>
      </c>
      <c r="E9" t="n">
        <v>20210</v>
      </c>
      <c r="F9" t="n">
        <v/>
      </c>
      <c r="G9" t="n">
        <v/>
      </c>
      <c r="H9" t="n">
        <v>0.3047</v>
      </c>
      <c r="I9" t="n">
        <v/>
      </c>
      <c r="J9" t="n">
        <v>44796</v>
      </c>
      <c r="K9" t="n">
        <v>13651.04</v>
      </c>
    </row>
    <row r="10">
      <c r="A10" t="n">
        <v>2024</v>
      </c>
      <c r="B10" t="n">
        <v>9</v>
      </c>
      <c r="C10" t="inlineStr">
        <is>
          <t>ASS1</t>
        </is>
      </c>
      <c r="D10" t="n">
        <v>69.31999999999999</v>
      </c>
      <c r="E10" t="n">
        <v>50341</v>
      </c>
      <c r="F10" t="n">
        <v/>
      </c>
      <c r="G10" t="n">
        <v/>
      </c>
      <c r="H10" t="n">
        <v>0.2904</v>
      </c>
      <c r="I10" t="n">
        <v/>
      </c>
      <c r="J10" t="n">
        <v>52599</v>
      </c>
      <c r="K10" t="n">
        <v>15277.15</v>
      </c>
    </row>
    <row r="11">
      <c r="A11" t="n">
        <v>2024</v>
      </c>
      <c r="B11" t="n">
        <v>10</v>
      </c>
      <c r="C11" t="inlineStr">
        <is>
          <t>ASS1</t>
        </is>
      </c>
      <c r="D11" t="n">
        <v>93.7</v>
      </c>
      <c r="E11" t="n">
        <v>68387</v>
      </c>
      <c r="F11" t="n">
        <v/>
      </c>
      <c r="G11" t="n">
        <v/>
      </c>
      <c r="H11" t="n">
        <v>0.2856</v>
      </c>
      <c r="I11" t="n">
        <v/>
      </c>
      <c r="J11" t="n">
        <v>54362</v>
      </c>
      <c r="K11" t="n">
        <v>15523.99</v>
      </c>
    </row>
    <row r="12">
      <c r="A12" t="n">
        <v>2024</v>
      </c>
      <c r="B12" t="n">
        <v>11</v>
      </c>
      <c r="C12" t="inlineStr">
        <is>
          <t>ASS1</t>
        </is>
      </c>
      <c r="D12" t="n">
        <v>130.2</v>
      </c>
      <c r="E12" t="n">
        <v>86845</v>
      </c>
      <c r="F12" t="n">
        <v>66.33</v>
      </c>
      <c r="G12" t="n">
        <v/>
      </c>
      <c r="H12" t="n">
        <v>0.307</v>
      </c>
      <c r="I12" t="n">
        <v>20.36331</v>
      </c>
      <c r="J12" t="n">
        <v>64157</v>
      </c>
      <c r="K12" t="n">
        <v>19751.41</v>
      </c>
    </row>
    <row r="13">
      <c r="A13" t="n">
        <v>2024</v>
      </c>
      <c r="B13" t="n">
        <v>12</v>
      </c>
      <c r="C13" t="inlineStr">
        <is>
          <t>ASS1</t>
        </is>
      </c>
      <c r="D13" t="n">
        <v>70.15000000000001</v>
      </c>
      <c r="E13" t="n">
        <v>37100</v>
      </c>
      <c r="F13" t="n">
        <v>38.64</v>
      </c>
      <c r="G13" t="n">
        <v/>
      </c>
      <c r="H13" t="n">
        <v>0.331</v>
      </c>
      <c r="I13" t="n">
        <v>12.78984</v>
      </c>
      <c r="J13" t="n">
        <v>51593</v>
      </c>
      <c r="K13" t="n">
        <v>17063.94</v>
      </c>
    </row>
    <row r="14">
      <c r="A14" t="n">
        <v>2025</v>
      </c>
      <c r="B14" t="n">
        <v>1</v>
      </c>
      <c r="C14" t="inlineStr">
        <is>
          <t>ASS1</t>
        </is>
      </c>
      <c r="D14" t="n">
        <v>182.2</v>
      </c>
      <c r="E14" t="n">
        <v>0</v>
      </c>
      <c r="F14" t="n">
        <v>55.34</v>
      </c>
      <c r="G14" t="n">
        <v/>
      </c>
      <c r="H14" t="n">
        <v>0.335</v>
      </c>
      <c r="I14" t="n">
        <v>18.5389</v>
      </c>
      <c r="J14" t="n">
        <v>61904</v>
      </c>
      <c r="K14" t="n">
        <v>20875.39</v>
      </c>
    </row>
    <row r="15">
      <c r="A15" t="n">
        <v>2025</v>
      </c>
      <c r="B15" t="n">
        <v>2</v>
      </c>
      <c r="C15" t="inlineStr">
        <is>
          <t>ASS1</t>
        </is>
      </c>
      <c r="D15" t="n">
        <v>127.5</v>
      </c>
      <c r="E15" t="n">
        <v>0</v>
      </c>
      <c r="F15" t="n">
        <v>64.14000000000001</v>
      </c>
      <c r="G15" t="n">
        <v/>
      </c>
      <c r="H15" t="n">
        <v>0.334</v>
      </c>
      <c r="I15" t="n">
        <v>21.42276000000001</v>
      </c>
      <c r="J15" t="n">
        <v>60366</v>
      </c>
      <c r="K15" t="n">
        <v>20173.7</v>
      </c>
    </row>
    <row r="16">
      <c r="A16" t="n">
        <v>2025</v>
      </c>
      <c r="B16" t="n">
        <v>3</v>
      </c>
      <c r="C16" t="inlineStr">
        <is>
          <t>ASS1</t>
        </is>
      </c>
      <c r="D16" t="n">
        <v>116.1</v>
      </c>
      <c r="E16" t="n">
        <v>0</v>
      </c>
      <c r="F16" t="n">
        <v>52.56999999999999</v>
      </c>
      <c r="G16" t="n">
        <v/>
      </c>
      <c r="H16" t="n">
        <v>0.286</v>
      </c>
      <c r="I16" t="n">
        <v>15.03502</v>
      </c>
      <c r="J16" t="n">
        <v>58209</v>
      </c>
      <c r="K16" t="n">
        <v>16648.58</v>
      </c>
    </row>
    <row r="17">
      <c r="A17" t="n">
        <v>2025</v>
      </c>
      <c r="B17" t="n">
        <v>4</v>
      </c>
      <c r="C17" t="inlineStr">
        <is>
          <t>ASS1</t>
        </is>
      </c>
      <c r="D17" t="n">
        <v>67.90000000000001</v>
      </c>
      <c r="E17" t="n">
        <v>0</v>
      </c>
      <c r="F17" t="n">
        <v>35.26999999999998</v>
      </c>
      <c r="G17" t="n">
        <v/>
      </c>
      <c r="H17" t="n">
        <v>0.2655</v>
      </c>
      <c r="I17" t="n">
        <v>9.364184999999996</v>
      </c>
      <c r="J17" t="n">
        <v>41269</v>
      </c>
      <c r="K17" t="n">
        <v>10956.7</v>
      </c>
    </row>
    <row r="18">
      <c r="A18" t="n">
        <v>2025</v>
      </c>
      <c r="B18" t="n">
        <v>5</v>
      </c>
      <c r="C18" t="inlineStr">
        <is>
          <t>ASS1</t>
        </is>
      </c>
      <c r="D18" t="n">
        <v>74.40000000000001</v>
      </c>
      <c r="E18" t="n">
        <v>0</v>
      </c>
      <c r="F18" t="n">
        <v>36.75999999999999</v>
      </c>
      <c r="G18" t="n">
        <v/>
      </c>
      <c r="H18" t="n">
        <v>0.2575</v>
      </c>
      <c r="I18" t="n">
        <v>9.465699999999998</v>
      </c>
      <c r="J18" t="n">
        <v>30809</v>
      </c>
      <c r="K18" t="n">
        <v>7932.95</v>
      </c>
    </row>
    <row r="19">
      <c r="A19" t="n">
        <v>2025</v>
      </c>
      <c r="B19" t="n">
        <v>6</v>
      </c>
      <c r="C19" t="inlineStr">
        <is>
          <t>ASS1</t>
        </is>
      </c>
      <c r="D19" t="n">
        <v>35</v>
      </c>
      <c r="E19" t="n">
        <v>0</v>
      </c>
      <c r="F19" t="n">
        <v>0</v>
      </c>
      <c r="G19" t="n">
        <v/>
      </c>
      <c r="H19" t="n">
        <v>0.355</v>
      </c>
      <c r="I19" t="n">
        <v>0</v>
      </c>
      <c r="J19" t="n">
        <v>33644</v>
      </c>
      <c r="K19" t="n">
        <v>11949.42</v>
      </c>
    </row>
    <row r="20">
      <c r="A20" t="n">
        <v>2025</v>
      </c>
      <c r="B20" t="n">
        <v>7</v>
      </c>
      <c r="C20" t="inlineStr">
        <is>
          <t>ASS1</t>
        </is>
      </c>
      <c r="D20" t="n">
        <v>95.40000000000001</v>
      </c>
      <c r="E20" t="n">
        <v>0</v>
      </c>
      <c r="F20" t="n">
        <v>0</v>
      </c>
      <c r="G20" t="n">
        <v/>
      </c>
      <c r="H20" t="n">
        <v>0.296</v>
      </c>
      <c r="I20" t="n">
        <v>0</v>
      </c>
      <c r="J20" t="n">
        <v>51483</v>
      </c>
      <c r="K20" t="n">
        <v>15262.33</v>
      </c>
    </row>
    <row r="21">
      <c r="A21" t="n">
        <v>2025</v>
      </c>
      <c r="B21" t="n">
        <v>8</v>
      </c>
      <c r="C21" t="inlineStr">
        <is>
          <t>ASS1</t>
        </is>
      </c>
      <c r="D21" t="n">
        <v>6.11</v>
      </c>
      <c r="E21" t="n">
        <v>5236</v>
      </c>
      <c r="F21" t="n">
        <v>0</v>
      </c>
      <c r="G21" t="n">
        <v/>
      </c>
      <c r="H21" t="n">
        <v>0.3268</v>
      </c>
      <c r="I21" t="n">
        <v>0</v>
      </c>
      <c r="J21" t="n">
        <v>17650</v>
      </c>
      <c r="K21" t="n">
        <v>5768.63</v>
      </c>
    </row>
    <row r="22">
      <c r="A22" t="n">
        <v>2025</v>
      </c>
      <c r="B22" t="n">
        <v>9</v>
      </c>
      <c r="C22" t="inlineStr">
        <is>
          <t>ASS1</t>
        </is>
      </c>
      <c r="D22" t="n">
        <v>128.79</v>
      </c>
      <c r="E22" t="n">
        <v>96569</v>
      </c>
      <c r="F22" t="n">
        <v>1</v>
      </c>
      <c r="G22" t="n">
        <v/>
      </c>
      <c r="H22" t="n">
        <v>0.2732</v>
      </c>
      <c r="I22" t="n">
        <v>0.2732</v>
      </c>
      <c r="J22" t="n">
        <v>47214</v>
      </c>
      <c r="K22" t="n">
        <v>12897.86</v>
      </c>
    </row>
    <row r="23">
      <c r="A23" t="n">
        <v>2025</v>
      </c>
      <c r="B23" t="n">
        <v>10</v>
      </c>
      <c r="C23" t="inlineStr">
        <is>
          <t>ASS1</t>
        </is>
      </c>
      <c r="D23" t="n">
        <v>0</v>
      </c>
      <c r="E23" t="n">
        <v>6740</v>
      </c>
      <c r="F23" t="n">
        <v>2</v>
      </c>
      <c r="G23" t="n">
        <v/>
      </c>
      <c r="H23" t="n">
        <v>0.2134</v>
      </c>
      <c r="I23" t="n">
        <v>0.4268</v>
      </c>
      <c r="J23" t="n">
        <v>47533</v>
      </c>
      <c r="K23" t="n">
        <v>13101.09</v>
      </c>
    </row>
    <row r="24">
      <c r="A24" t="n">
        <v>2025</v>
      </c>
      <c r="B24" t="n">
        <v>11</v>
      </c>
      <c r="C24" t="inlineStr">
        <is>
          <t>ASS1</t>
        </is>
      </c>
      <c r="D24" t="n">
        <v/>
      </c>
      <c r="E24" t="n">
        <v/>
      </c>
      <c r="F24" t="n">
        <v/>
      </c>
      <c r="G24" t="n">
        <v/>
      </c>
      <c r="H24" t="n">
        <v>0</v>
      </c>
      <c r="I24" t="n">
        <v>0</v>
      </c>
      <c r="J24" t="n">
        <v>0</v>
      </c>
      <c r="K24" t="n">
        <v>0</v>
      </c>
    </row>
    <row r="25">
      <c r="A25" t="n">
        <v>2025</v>
      </c>
      <c r="B25" t="n">
        <v>12</v>
      </c>
      <c r="C25" t="inlineStr">
        <is>
          <t>ASS1</t>
        </is>
      </c>
      <c r="D25" t="n">
        <v/>
      </c>
      <c r="E25" t="n">
        <v/>
      </c>
      <c r="F25" t="n">
        <v/>
      </c>
      <c r="G25" t="n">
        <v/>
      </c>
      <c r="H25" t="n">
        <v>0</v>
      </c>
      <c r="I25" t="n">
        <v>0</v>
      </c>
      <c r="J25" t="n">
        <v>0</v>
      </c>
      <c r="K25" t="n">
        <v>0</v>
      </c>
    </row>
    <row r="26">
      <c r="A26" t="n">
        <v>2024</v>
      </c>
      <c r="B26" t="n">
        <v>1</v>
      </c>
      <c r="C26" t="inlineStr">
        <is>
          <t>F01</t>
        </is>
      </c>
      <c r="D26" t="n">
        <v>171.92</v>
      </c>
      <c r="E26" t="n">
        <v>143772</v>
      </c>
      <c r="F26" t="n">
        <v/>
      </c>
      <c r="G26" t="n">
        <v/>
      </c>
      <c r="H26" t="n">
        <v>0.2557</v>
      </c>
      <c r="I26" t="n">
        <v/>
      </c>
      <c r="J26" t="n">
        <v>64934</v>
      </c>
      <c r="K26" t="n">
        <v>16601.39</v>
      </c>
    </row>
    <row r="27">
      <c r="A27" t="n">
        <v>2024</v>
      </c>
      <c r="B27" t="n">
        <v>2</v>
      </c>
      <c r="C27" t="inlineStr">
        <is>
          <t>F01</t>
        </is>
      </c>
      <c r="D27" t="n">
        <v>119.51</v>
      </c>
      <c r="E27" t="n">
        <v>99614</v>
      </c>
      <c r="F27" t="n">
        <v/>
      </c>
      <c r="G27" t="n">
        <v/>
      </c>
      <c r="H27" t="n">
        <v>0.2378</v>
      </c>
      <c r="I27" t="n">
        <v/>
      </c>
      <c r="J27" t="n">
        <v>71197</v>
      </c>
      <c r="K27" t="n">
        <v>16934</v>
      </c>
    </row>
    <row r="28">
      <c r="A28" t="n">
        <v>2024</v>
      </c>
      <c r="B28" t="n">
        <v>3</v>
      </c>
      <c r="C28" t="inlineStr">
        <is>
          <t>F01</t>
        </is>
      </c>
      <c r="D28" t="n">
        <v>41.33</v>
      </c>
      <c r="E28" t="n">
        <v>30484</v>
      </c>
      <c r="F28" t="n">
        <v/>
      </c>
      <c r="G28" t="n">
        <v/>
      </c>
      <c r="H28" t="n">
        <v>0.2428</v>
      </c>
      <c r="I28" t="n">
        <v/>
      </c>
      <c r="J28" t="n">
        <v>51152</v>
      </c>
      <c r="K28" t="n">
        <v>12419.74</v>
      </c>
    </row>
    <row r="29">
      <c r="A29" t="n">
        <v>2024</v>
      </c>
      <c r="B29" t="n">
        <v>4</v>
      </c>
      <c r="C29" t="inlineStr">
        <is>
          <t>F01</t>
        </is>
      </c>
      <c r="D29" t="n">
        <v>12.44</v>
      </c>
      <c r="E29" t="n">
        <v>11700</v>
      </c>
      <c r="F29" t="n">
        <v/>
      </c>
      <c r="G29" t="n">
        <v/>
      </c>
      <c r="H29" t="n">
        <v>0.2416</v>
      </c>
      <c r="I29" t="n">
        <v/>
      </c>
      <c r="J29" t="n">
        <v>45316</v>
      </c>
      <c r="K29" t="n">
        <v>10948.47</v>
      </c>
    </row>
    <row r="30">
      <c r="A30" t="n">
        <v>2024</v>
      </c>
      <c r="B30" t="n">
        <v>5</v>
      </c>
      <c r="C30" t="inlineStr">
        <is>
          <t>F01</t>
        </is>
      </c>
      <c r="D30" t="n">
        <v>107.52</v>
      </c>
      <c r="E30" t="n">
        <v>106500</v>
      </c>
      <c r="F30" t="n">
        <v/>
      </c>
      <c r="G30" t="n">
        <v/>
      </c>
      <c r="H30" t="n">
        <v>0.2507</v>
      </c>
      <c r="I30" t="n">
        <v/>
      </c>
      <c r="J30" t="n">
        <v>51330</v>
      </c>
      <c r="K30" t="n">
        <v>12868.58</v>
      </c>
    </row>
    <row r="31">
      <c r="A31" t="n">
        <v>2024</v>
      </c>
      <c r="B31" t="n">
        <v>6</v>
      </c>
      <c r="C31" t="inlineStr">
        <is>
          <t>F01</t>
        </is>
      </c>
      <c r="D31" t="n">
        <v>90.79000000000001</v>
      </c>
      <c r="E31" t="n">
        <v>36912</v>
      </c>
      <c r="F31" t="n">
        <v/>
      </c>
      <c r="G31" t="n">
        <v/>
      </c>
      <c r="H31" t="n">
        <v>0.2722</v>
      </c>
      <c r="I31" t="n">
        <v/>
      </c>
      <c r="J31" t="n">
        <v>42151</v>
      </c>
      <c r="K31" t="n">
        <v>11473.9</v>
      </c>
    </row>
    <row r="32">
      <c r="A32" t="n">
        <v>2024</v>
      </c>
      <c r="B32" t="n">
        <v>7</v>
      </c>
      <c r="C32" t="inlineStr">
        <is>
          <t>F01</t>
        </is>
      </c>
      <c r="D32" t="n">
        <v>132.66</v>
      </c>
      <c r="E32" t="n">
        <v>20988</v>
      </c>
      <c r="F32" t="n">
        <v/>
      </c>
      <c r="G32" t="n">
        <v/>
      </c>
      <c r="H32" t="n">
        <v>0.287</v>
      </c>
      <c r="I32" t="n">
        <v/>
      </c>
      <c r="J32" t="n">
        <v>67581</v>
      </c>
      <c r="K32" t="n">
        <v>19396.73</v>
      </c>
    </row>
    <row r="33">
      <c r="A33" t="n">
        <v>2024</v>
      </c>
      <c r="B33" t="n">
        <v>8</v>
      </c>
      <c r="C33" t="inlineStr">
        <is>
          <t>F01</t>
        </is>
      </c>
      <c r="D33" t="n">
        <v>33.49</v>
      </c>
      <c r="E33" t="n">
        <v>31135</v>
      </c>
      <c r="F33" t="n">
        <v/>
      </c>
      <c r="G33" t="n">
        <v/>
      </c>
      <c r="H33" t="n">
        <v>0.3047</v>
      </c>
      <c r="I33" t="n">
        <v/>
      </c>
      <c r="J33" t="n">
        <v>44796</v>
      </c>
      <c r="K33" t="n">
        <v>13651.04</v>
      </c>
    </row>
    <row r="34">
      <c r="A34" t="n">
        <v>2024</v>
      </c>
      <c r="B34" t="n">
        <v>9</v>
      </c>
      <c r="C34" t="inlineStr">
        <is>
          <t>F01</t>
        </is>
      </c>
      <c r="D34" t="n">
        <v>217.54</v>
      </c>
      <c r="E34" t="n">
        <v>65920</v>
      </c>
      <c r="F34" t="n">
        <v/>
      </c>
      <c r="G34" t="n">
        <v/>
      </c>
      <c r="H34" t="n">
        <v>0.2904</v>
      </c>
      <c r="I34" t="n">
        <v/>
      </c>
      <c r="J34" t="n">
        <v>52599</v>
      </c>
      <c r="K34" t="n">
        <v>15277.15</v>
      </c>
    </row>
    <row r="35">
      <c r="A35" t="n">
        <v>2024</v>
      </c>
      <c r="B35" t="n">
        <v>10</v>
      </c>
      <c r="C35" t="inlineStr">
        <is>
          <t>F01</t>
        </is>
      </c>
      <c r="D35" t="n">
        <v>96.65000000000001</v>
      </c>
      <c r="E35" t="n">
        <v>100508</v>
      </c>
      <c r="F35" t="n">
        <v/>
      </c>
      <c r="G35" t="n">
        <v/>
      </c>
      <c r="H35" t="n">
        <v>0.2856</v>
      </c>
      <c r="I35" t="n">
        <v/>
      </c>
      <c r="J35" t="n">
        <v>54362</v>
      </c>
      <c r="K35" t="n">
        <v>15523.99</v>
      </c>
    </row>
    <row r="36">
      <c r="A36" t="n">
        <v>2024</v>
      </c>
      <c r="B36" t="n">
        <v>12</v>
      </c>
      <c r="C36" t="inlineStr">
        <is>
          <t>F01</t>
        </is>
      </c>
      <c r="D36" t="n">
        <v>59.3</v>
      </c>
      <c r="E36" t="n">
        <v>49458</v>
      </c>
      <c r="F36" t="n">
        <v>312.1400000000001</v>
      </c>
      <c r="G36" t="n">
        <v/>
      </c>
      <c r="H36" t="n">
        <v>0.331</v>
      </c>
      <c r="I36" t="n">
        <v>103.31834</v>
      </c>
      <c r="J36" t="n">
        <v>51593</v>
      </c>
      <c r="K36" t="n">
        <v>17063.94</v>
      </c>
    </row>
    <row r="37">
      <c r="A37" t="n">
        <v>2025</v>
      </c>
      <c r="B37" t="n">
        <v>1</v>
      </c>
      <c r="C37" t="inlineStr">
        <is>
          <t>F01</t>
        </is>
      </c>
      <c r="D37" t="n">
        <v>129.8</v>
      </c>
      <c r="E37" t="n">
        <v>81089</v>
      </c>
      <c r="F37" t="n">
        <v>428.8899999999999</v>
      </c>
      <c r="G37" t="n">
        <v/>
      </c>
      <c r="H37" t="n">
        <v>0.335</v>
      </c>
      <c r="I37" t="n">
        <v>143.67815</v>
      </c>
      <c r="J37" t="n">
        <v>61904</v>
      </c>
      <c r="K37" t="n">
        <v>20875.39</v>
      </c>
    </row>
    <row r="38">
      <c r="A38" t="n">
        <v>2025</v>
      </c>
      <c r="B38" t="n">
        <v>2</v>
      </c>
      <c r="C38" t="inlineStr">
        <is>
          <t>F01</t>
        </is>
      </c>
      <c r="D38" t="n">
        <v>153.8</v>
      </c>
      <c r="E38" t="n">
        <v>90790</v>
      </c>
      <c r="F38" t="n">
        <v>492.7800000000002</v>
      </c>
      <c r="G38" t="n">
        <v/>
      </c>
      <c r="H38" t="n">
        <v>0.334</v>
      </c>
      <c r="I38" t="n">
        <v>164.5885200000001</v>
      </c>
      <c r="J38" t="n">
        <v>60366</v>
      </c>
      <c r="K38" t="n">
        <v>20173.7</v>
      </c>
    </row>
    <row r="39">
      <c r="A39" t="n">
        <v>2025</v>
      </c>
      <c r="B39" t="n">
        <v>3</v>
      </c>
      <c r="C39" t="inlineStr">
        <is>
          <t>F01</t>
        </is>
      </c>
      <c r="D39" t="n">
        <v>94.59999999999999</v>
      </c>
      <c r="E39" t="n">
        <v>82524</v>
      </c>
      <c r="F39" t="n">
        <v>407.3300000000004</v>
      </c>
      <c r="G39" t="n">
        <v/>
      </c>
      <c r="H39" t="n">
        <v>0.286</v>
      </c>
      <c r="I39" t="n">
        <v>116.4963800000001</v>
      </c>
      <c r="J39" t="n">
        <v>58209</v>
      </c>
      <c r="K39" t="n">
        <v>16648.58</v>
      </c>
    </row>
    <row r="40">
      <c r="A40" t="n">
        <v>2025</v>
      </c>
      <c r="B40" t="n">
        <v>4</v>
      </c>
      <c r="C40" t="inlineStr">
        <is>
          <t>F01</t>
        </is>
      </c>
      <c r="D40" t="n">
        <v>84.59999999999999</v>
      </c>
      <c r="E40" t="n">
        <v>89516</v>
      </c>
      <c r="F40" t="n">
        <v>339.1799999999998</v>
      </c>
      <c r="G40" t="n">
        <v/>
      </c>
      <c r="H40" t="n">
        <v>0.2655</v>
      </c>
      <c r="I40" t="n">
        <v>90.05228999999994</v>
      </c>
      <c r="J40" t="n">
        <v>41269</v>
      </c>
      <c r="K40" t="n">
        <v>10956.7</v>
      </c>
    </row>
    <row r="41">
      <c r="A41" t="n">
        <v>2025</v>
      </c>
      <c r="B41" t="n">
        <v>5</v>
      </c>
      <c r="C41" t="inlineStr">
        <is>
          <t>F01</t>
        </is>
      </c>
      <c r="D41" t="n">
        <v>135.2</v>
      </c>
      <c r="E41" t="n">
        <v>36500</v>
      </c>
      <c r="F41" t="n">
        <v>253.4699999999998</v>
      </c>
      <c r="G41" t="n">
        <v/>
      </c>
      <c r="H41" t="n">
        <v>0.2575</v>
      </c>
      <c r="I41" t="n">
        <v>65.26852499999995</v>
      </c>
      <c r="J41" t="n">
        <v>30809</v>
      </c>
      <c r="K41" t="n">
        <v>7932.95</v>
      </c>
    </row>
    <row r="42">
      <c r="A42" t="n">
        <v>2025</v>
      </c>
      <c r="B42" t="n">
        <v>6</v>
      </c>
      <c r="C42" t="inlineStr">
        <is>
          <t>F01</t>
        </is>
      </c>
      <c r="D42" t="n">
        <v>18.2</v>
      </c>
      <c r="E42" t="n">
        <v>20900</v>
      </c>
      <c r="F42" t="n">
        <v>97.44000000000005</v>
      </c>
      <c r="G42" t="n">
        <v/>
      </c>
      <c r="H42" t="n">
        <v>0.355</v>
      </c>
      <c r="I42" t="n">
        <v>34.59120000000001</v>
      </c>
      <c r="J42" t="n">
        <v>33644</v>
      </c>
      <c r="K42" t="n">
        <v>11949.42</v>
      </c>
    </row>
    <row r="43">
      <c r="A43" t="n">
        <v>2025</v>
      </c>
      <c r="B43" t="n">
        <v>7</v>
      </c>
      <c r="C43" t="inlineStr">
        <is>
          <t>F01</t>
        </is>
      </c>
      <c r="D43" t="n">
        <v>173.2</v>
      </c>
      <c r="E43" t="n">
        <v>197200</v>
      </c>
      <c r="F43" t="n">
        <v>448.6000000000004</v>
      </c>
      <c r="G43" t="n">
        <v/>
      </c>
      <c r="H43" t="n">
        <v>0.296</v>
      </c>
      <c r="I43" t="n">
        <v>132.7856000000001</v>
      </c>
      <c r="J43" t="n">
        <v>51483</v>
      </c>
      <c r="K43" t="n">
        <v>15262.33</v>
      </c>
    </row>
    <row r="44">
      <c r="A44" t="n">
        <v>2025</v>
      </c>
      <c r="B44" t="n">
        <v>8</v>
      </c>
      <c r="C44" t="inlineStr">
        <is>
          <t>F01</t>
        </is>
      </c>
      <c r="D44" t="n">
        <v>0</v>
      </c>
      <c r="E44" t="n">
        <v>0</v>
      </c>
      <c r="F44" t="n">
        <v>4.049999999999727</v>
      </c>
      <c r="G44" t="n">
        <v/>
      </c>
      <c r="H44" t="n">
        <v>0.3268</v>
      </c>
      <c r="I44" t="n">
        <v>1.323539999999911</v>
      </c>
      <c r="J44" t="n">
        <v>17650</v>
      </c>
      <c r="K44" t="n">
        <v>5768.63</v>
      </c>
    </row>
    <row r="45">
      <c r="A45" t="n">
        <v>2025</v>
      </c>
      <c r="B45" t="n">
        <v>9</v>
      </c>
      <c r="C45" t="inlineStr">
        <is>
          <t>F01</t>
        </is>
      </c>
      <c r="D45" t="n">
        <v>40.05</v>
      </c>
      <c r="E45" t="n">
        <v>16300</v>
      </c>
      <c r="F45" t="n">
        <v>179.2200000000003</v>
      </c>
      <c r="G45" t="n">
        <v/>
      </c>
      <c r="H45" t="n">
        <v>0.2732</v>
      </c>
      <c r="I45" t="n">
        <v>48.96290400000009</v>
      </c>
      <c r="J45" t="n">
        <v>47214</v>
      </c>
      <c r="K45" t="n">
        <v>12897.86</v>
      </c>
    </row>
    <row r="46">
      <c r="A46" t="n">
        <v>2025</v>
      </c>
      <c r="B46" t="n">
        <v>10</v>
      </c>
      <c r="C46" t="inlineStr">
        <is>
          <t>F01</t>
        </is>
      </c>
      <c r="D46" t="n">
        <v>40.92</v>
      </c>
      <c r="E46" t="n">
        <v>20349</v>
      </c>
      <c r="F46" t="n">
        <v>477.6199999999994</v>
      </c>
      <c r="G46" t="n">
        <v/>
      </c>
      <c r="H46" t="n">
        <v>0.2134</v>
      </c>
      <c r="I46" t="n">
        <v>101.9241079999999</v>
      </c>
      <c r="J46" t="n">
        <v>47533</v>
      </c>
      <c r="K46" t="n">
        <v>13101.09</v>
      </c>
    </row>
    <row r="47">
      <c r="A47" t="n">
        <v>2025</v>
      </c>
      <c r="B47" t="n">
        <v>11</v>
      </c>
      <c r="C47" t="inlineStr">
        <is>
          <t>F01</t>
        </is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>0</v>
      </c>
      <c r="K47" t="n">
        <v>0</v>
      </c>
    </row>
    <row r="48">
      <c r="A48" t="n">
        <v>2025</v>
      </c>
      <c r="B48" t="n">
        <v>12</v>
      </c>
      <c r="C48" t="inlineStr">
        <is>
          <t>F01</t>
        </is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>0</v>
      </c>
      <c r="K48" t="n">
        <v>0</v>
      </c>
    </row>
    <row r="49">
      <c r="A49" t="n">
        <v>2024</v>
      </c>
      <c r="B49" t="n">
        <v>1</v>
      </c>
      <c r="C49" t="inlineStr">
        <is>
          <t>F02</t>
        </is>
      </c>
      <c r="D49" t="n">
        <v>141.59</v>
      </c>
      <c r="E49" t="n">
        <v>74096</v>
      </c>
      <c r="F49" t="n">
        <v/>
      </c>
      <c r="G49" t="n">
        <v/>
      </c>
      <c r="H49" t="n">
        <v>0.2557</v>
      </c>
      <c r="I49" t="n">
        <v/>
      </c>
      <c r="J49" t="n">
        <v>64934</v>
      </c>
      <c r="K49" t="n">
        <v>16601.39</v>
      </c>
    </row>
    <row r="50">
      <c r="A50" t="n">
        <v>2024</v>
      </c>
      <c r="B50" t="n">
        <v>2</v>
      </c>
      <c r="C50" t="inlineStr">
        <is>
          <t>F02</t>
        </is>
      </c>
      <c r="D50" t="n">
        <v>211.19</v>
      </c>
      <c r="E50" t="n">
        <v>76550</v>
      </c>
      <c r="F50" t="n">
        <v/>
      </c>
      <c r="G50" t="n">
        <v/>
      </c>
      <c r="H50" t="n">
        <v>0.2378</v>
      </c>
      <c r="I50" t="n">
        <v/>
      </c>
      <c r="J50" t="n">
        <v>71197</v>
      </c>
      <c r="K50" t="n">
        <v>16934</v>
      </c>
    </row>
    <row r="51">
      <c r="A51" t="n">
        <v>2024</v>
      </c>
      <c r="B51" t="n">
        <v>3</v>
      </c>
      <c r="C51" t="inlineStr">
        <is>
          <t>F02</t>
        </is>
      </c>
      <c r="D51" t="n">
        <v>83.45</v>
      </c>
      <c r="E51" t="n">
        <v>47000</v>
      </c>
      <c r="F51" t="n">
        <v/>
      </c>
      <c r="G51" t="n">
        <v/>
      </c>
      <c r="H51" t="n">
        <v>0.2428</v>
      </c>
      <c r="I51" t="n">
        <v/>
      </c>
      <c r="J51" t="n">
        <v>51152</v>
      </c>
      <c r="K51" t="n">
        <v>12419.74</v>
      </c>
    </row>
    <row r="52">
      <c r="A52" t="n">
        <v>2024</v>
      </c>
      <c r="B52" t="n">
        <v>4</v>
      </c>
      <c r="C52" t="inlineStr">
        <is>
          <t>F02</t>
        </is>
      </c>
      <c r="D52" t="n">
        <v>0</v>
      </c>
      <c r="E52" t="n">
        <v>10860</v>
      </c>
      <c r="F52" t="n">
        <v/>
      </c>
      <c r="G52" t="n">
        <v/>
      </c>
      <c r="H52" t="n">
        <v>0.2416</v>
      </c>
      <c r="I52" t="n">
        <v/>
      </c>
      <c r="J52" t="n">
        <v>45316</v>
      </c>
      <c r="K52" t="n">
        <v>10948.47</v>
      </c>
    </row>
    <row r="53">
      <c r="A53" t="n">
        <v>2024</v>
      </c>
      <c r="B53" t="n">
        <v>5</v>
      </c>
      <c r="C53" t="inlineStr">
        <is>
          <t>F02</t>
        </is>
      </c>
      <c r="D53" t="n">
        <v>69.22</v>
      </c>
      <c r="E53" t="n">
        <v>13432</v>
      </c>
      <c r="F53" t="n">
        <v/>
      </c>
      <c r="G53" t="n">
        <v/>
      </c>
      <c r="H53" t="n">
        <v>0.2507</v>
      </c>
      <c r="I53" t="n">
        <v/>
      </c>
      <c r="J53" t="n">
        <v>51330</v>
      </c>
      <c r="K53" t="n">
        <v>12868.58</v>
      </c>
    </row>
    <row r="54">
      <c r="A54" t="n">
        <v>2024</v>
      </c>
      <c r="B54" t="n">
        <v>6</v>
      </c>
      <c r="C54" t="inlineStr">
        <is>
          <t>F02</t>
        </is>
      </c>
      <c r="D54" t="n">
        <v>62.19</v>
      </c>
      <c r="E54" t="n">
        <v>36744</v>
      </c>
      <c r="F54" t="n">
        <v/>
      </c>
      <c r="G54" t="n">
        <v/>
      </c>
      <c r="H54" t="n">
        <v>0.2722</v>
      </c>
      <c r="I54" t="n">
        <v/>
      </c>
      <c r="J54" t="n">
        <v>42151</v>
      </c>
      <c r="K54" t="n">
        <v>11473.9</v>
      </c>
    </row>
    <row r="55">
      <c r="A55" t="n">
        <v>2024</v>
      </c>
      <c r="B55" t="n">
        <v>7</v>
      </c>
      <c r="C55" t="inlineStr">
        <is>
          <t>F02</t>
        </is>
      </c>
      <c r="D55" t="n">
        <v>59.82</v>
      </c>
      <c r="E55" t="n">
        <v>18500</v>
      </c>
      <c r="F55" t="n">
        <v/>
      </c>
      <c r="G55" t="n">
        <v/>
      </c>
      <c r="H55" t="n">
        <v>0.287</v>
      </c>
      <c r="I55" t="n">
        <v/>
      </c>
      <c r="J55" t="n">
        <v>67581</v>
      </c>
      <c r="K55" t="n">
        <v>19396.73</v>
      </c>
    </row>
    <row r="56">
      <c r="A56" t="n">
        <v>2024</v>
      </c>
      <c r="B56" t="n">
        <v>8</v>
      </c>
      <c r="C56" t="inlineStr">
        <is>
          <t>F02</t>
        </is>
      </c>
      <c r="D56" t="n">
        <v>45.05</v>
      </c>
      <c r="E56" t="n">
        <v>17088</v>
      </c>
      <c r="F56" t="n">
        <v/>
      </c>
      <c r="G56" t="n">
        <v/>
      </c>
      <c r="H56" t="n">
        <v>0.3047</v>
      </c>
      <c r="I56" t="n">
        <v/>
      </c>
      <c r="J56" t="n">
        <v>44796</v>
      </c>
      <c r="K56" t="n">
        <v>13651.04</v>
      </c>
    </row>
    <row r="57">
      <c r="A57" t="n">
        <v>2024</v>
      </c>
      <c r="B57" t="n">
        <v>9</v>
      </c>
      <c r="C57" t="inlineStr">
        <is>
          <t>F02</t>
        </is>
      </c>
      <c r="D57" t="n">
        <v>84.73</v>
      </c>
      <c r="E57" t="n">
        <v>13260</v>
      </c>
      <c r="F57" t="n">
        <v/>
      </c>
      <c r="G57" t="n">
        <v/>
      </c>
      <c r="H57" t="n">
        <v>0.2904</v>
      </c>
      <c r="I57" t="n">
        <v/>
      </c>
      <c r="J57" t="n">
        <v>52599</v>
      </c>
      <c r="K57" t="n">
        <v>15277.15</v>
      </c>
    </row>
    <row r="58">
      <c r="A58" t="n">
        <v>2024</v>
      </c>
      <c r="B58" t="n">
        <v>10</v>
      </c>
      <c r="C58" t="inlineStr">
        <is>
          <t>F02</t>
        </is>
      </c>
      <c r="D58" t="n">
        <v>45.11</v>
      </c>
      <c r="E58" t="n">
        <v>4700</v>
      </c>
      <c r="F58" t="n">
        <v/>
      </c>
      <c r="G58" t="n">
        <v/>
      </c>
      <c r="H58" t="n">
        <v>0.2856</v>
      </c>
      <c r="I58" t="n">
        <v/>
      </c>
      <c r="J58" t="n">
        <v>54362</v>
      </c>
      <c r="K58" t="n">
        <v>15523.99</v>
      </c>
    </row>
    <row r="59">
      <c r="A59" t="n">
        <v>2024</v>
      </c>
      <c r="B59" t="n">
        <v>11</v>
      </c>
      <c r="C59" t="inlineStr">
        <is>
          <t>F02</t>
        </is>
      </c>
      <c r="D59" t="n">
        <v>103.3</v>
      </c>
      <c r="E59" t="n">
        <v>15405</v>
      </c>
      <c r="F59" t="n">
        <v>511.15</v>
      </c>
      <c r="G59" t="n">
        <v/>
      </c>
      <c r="H59" t="n">
        <v>0.307</v>
      </c>
      <c r="I59" t="n">
        <v>156.92305</v>
      </c>
      <c r="J59" t="n">
        <v>64157</v>
      </c>
      <c r="K59" t="n">
        <v>19751.41</v>
      </c>
    </row>
    <row r="60">
      <c r="A60" t="n">
        <v>2024</v>
      </c>
      <c r="B60" t="n">
        <v>12</v>
      </c>
      <c r="C60" t="inlineStr">
        <is>
          <t>F02</t>
        </is>
      </c>
      <c r="D60" t="n">
        <v>89.7</v>
      </c>
      <c r="E60" t="n">
        <v>100138</v>
      </c>
      <c r="F60" t="n">
        <v>357.1300000000001</v>
      </c>
      <c r="G60" t="n">
        <v/>
      </c>
      <c r="H60" t="n">
        <v>0.331</v>
      </c>
      <c r="I60" t="n">
        <v>118.21003</v>
      </c>
      <c r="J60" t="n">
        <v>51593</v>
      </c>
      <c r="K60" t="n">
        <v>17063.94</v>
      </c>
    </row>
    <row r="61">
      <c r="A61" t="n">
        <v>2025</v>
      </c>
      <c r="B61" t="n">
        <v>1</v>
      </c>
      <c r="C61" t="inlineStr">
        <is>
          <t>F02</t>
        </is>
      </c>
      <c r="D61" t="n">
        <v>99.7</v>
      </c>
      <c r="E61" t="n">
        <v>6278</v>
      </c>
      <c r="F61" t="n">
        <v>502.77</v>
      </c>
      <c r="G61" t="n">
        <v/>
      </c>
      <c r="H61" t="n">
        <v>0.335</v>
      </c>
      <c r="I61" t="n">
        <v>168.42795</v>
      </c>
      <c r="J61" t="n">
        <v>61904</v>
      </c>
      <c r="K61" t="n">
        <v>20875.39</v>
      </c>
    </row>
    <row r="62">
      <c r="A62" t="n">
        <v>2025</v>
      </c>
      <c r="B62" t="n">
        <v>2</v>
      </c>
      <c r="C62" t="inlineStr">
        <is>
          <t>F02</t>
        </is>
      </c>
      <c r="D62" t="n">
        <v>77.59999999999999</v>
      </c>
      <c r="E62" t="n">
        <v>41985</v>
      </c>
      <c r="F62" t="n">
        <v>286.4399999999998</v>
      </c>
      <c r="G62" t="n">
        <v/>
      </c>
      <c r="H62" t="n">
        <v>0.334</v>
      </c>
      <c r="I62" t="n">
        <v>95.67095999999995</v>
      </c>
      <c r="J62" t="n">
        <v>60366</v>
      </c>
      <c r="K62" t="n">
        <v>20173.7</v>
      </c>
    </row>
    <row r="63">
      <c r="A63" t="n">
        <v>2025</v>
      </c>
      <c r="B63" t="n">
        <v>3</v>
      </c>
      <c r="C63" t="inlineStr">
        <is>
          <t>F02</t>
        </is>
      </c>
      <c r="D63" t="n">
        <v>53.7</v>
      </c>
      <c r="E63" t="n">
        <v>36925</v>
      </c>
      <c r="F63" t="n">
        <v>402.3199999999997</v>
      </c>
      <c r="G63" t="n">
        <v/>
      </c>
      <c r="H63" t="n">
        <v>0.286</v>
      </c>
      <c r="I63" t="n">
        <v>115.0635199999999</v>
      </c>
      <c r="J63" t="n">
        <v>58209</v>
      </c>
      <c r="K63" t="n">
        <v>16648.58</v>
      </c>
    </row>
    <row r="64">
      <c r="A64" t="n">
        <v>2025</v>
      </c>
      <c r="B64" t="n">
        <v>4</v>
      </c>
      <c r="C64" t="inlineStr">
        <is>
          <t>F02</t>
        </is>
      </c>
      <c r="D64" t="n">
        <v>108.4</v>
      </c>
      <c r="E64" t="n">
        <v>19510</v>
      </c>
      <c r="F64" t="n">
        <v>398.6900000000001</v>
      </c>
      <c r="G64" t="n">
        <v/>
      </c>
      <c r="H64" t="n">
        <v>0.2655</v>
      </c>
      <c r="I64" t="n">
        <v>105.852195</v>
      </c>
      <c r="J64" t="n">
        <v>41269</v>
      </c>
      <c r="K64" t="n">
        <v>10956.7</v>
      </c>
    </row>
    <row r="65">
      <c r="A65" t="n">
        <v>2025</v>
      </c>
      <c r="B65" t="n">
        <v>5</v>
      </c>
      <c r="C65" t="inlineStr">
        <is>
          <t>F02</t>
        </is>
      </c>
      <c r="D65" t="n">
        <v>2.2</v>
      </c>
      <c r="E65" t="n">
        <v>500</v>
      </c>
      <c r="F65" t="n">
        <v>66.40000000000009</v>
      </c>
      <c r="G65" t="n">
        <v/>
      </c>
      <c r="H65" t="n">
        <v>0.2575</v>
      </c>
      <c r="I65" t="n">
        <v>17.09800000000002</v>
      </c>
      <c r="J65" t="n">
        <v>30809</v>
      </c>
      <c r="K65" t="n">
        <v>7932.95</v>
      </c>
    </row>
    <row r="66">
      <c r="A66" t="n">
        <v>2025</v>
      </c>
      <c r="B66" t="n">
        <v>6</v>
      </c>
      <c r="C66" t="inlineStr">
        <is>
          <t>F02</t>
        </is>
      </c>
      <c r="D66" t="n">
        <v>15.8</v>
      </c>
      <c r="E66" t="n">
        <v>4484</v>
      </c>
      <c r="F66" t="n">
        <v>146.0300000000002</v>
      </c>
      <c r="G66" t="n">
        <v/>
      </c>
      <c r="H66" t="n">
        <v>0.355</v>
      </c>
      <c r="I66" t="n">
        <v>51.84065000000007</v>
      </c>
      <c r="J66" t="n">
        <v>33644</v>
      </c>
      <c r="K66" t="n">
        <v>11949.42</v>
      </c>
    </row>
    <row r="67">
      <c r="A67" t="n">
        <v>2025</v>
      </c>
      <c r="B67" t="n">
        <v>7</v>
      </c>
      <c r="C67" t="inlineStr">
        <is>
          <t>F02</t>
        </is>
      </c>
      <c r="D67" t="n">
        <v>115.1</v>
      </c>
      <c r="E67" t="n">
        <v>51000</v>
      </c>
      <c r="F67" t="n">
        <v>538.77</v>
      </c>
      <c r="G67" t="n">
        <v/>
      </c>
      <c r="H67" t="n">
        <v>0.296</v>
      </c>
      <c r="I67" t="n">
        <v>159.47592</v>
      </c>
      <c r="J67" t="n">
        <v>51483</v>
      </c>
      <c r="K67" t="n">
        <v>15262.33</v>
      </c>
    </row>
    <row r="68">
      <c r="A68" t="n">
        <v>2025</v>
      </c>
      <c r="B68" t="n">
        <v>8</v>
      </c>
      <c r="C68" t="inlineStr">
        <is>
          <t>F02</t>
        </is>
      </c>
      <c r="D68" t="n">
        <v>59.62</v>
      </c>
      <c r="E68" t="n">
        <v>35441</v>
      </c>
      <c r="F68" t="n">
        <v>163.1999999999998</v>
      </c>
      <c r="G68" t="n">
        <v/>
      </c>
      <c r="H68" t="n">
        <v>0.3268</v>
      </c>
      <c r="I68" t="n">
        <v>53.33375999999993</v>
      </c>
      <c r="J68" t="n">
        <v>17650</v>
      </c>
      <c r="K68" t="n">
        <v>5768.63</v>
      </c>
    </row>
    <row r="69">
      <c r="A69" t="n">
        <v>2025</v>
      </c>
      <c r="B69" t="n">
        <v>9</v>
      </c>
      <c r="C69" t="inlineStr">
        <is>
          <t>F02</t>
        </is>
      </c>
      <c r="D69" t="n">
        <v>287.77</v>
      </c>
      <c r="E69" t="n">
        <v>112280</v>
      </c>
      <c r="F69" t="n">
        <v>746.3999999999996</v>
      </c>
      <c r="G69" t="n">
        <v/>
      </c>
      <c r="H69" t="n">
        <v>0.2732</v>
      </c>
      <c r="I69" t="n">
        <v>203.9164799999999</v>
      </c>
      <c r="J69" t="n">
        <v>47214</v>
      </c>
      <c r="K69" t="n">
        <v>12897.86</v>
      </c>
    </row>
    <row r="70">
      <c r="A70" t="n">
        <v>2025</v>
      </c>
      <c r="B70" t="n">
        <v>10</v>
      </c>
      <c r="C70" t="inlineStr">
        <is>
          <t>F02</t>
        </is>
      </c>
      <c r="D70" t="n">
        <v>72.31</v>
      </c>
      <c r="E70" t="n">
        <v>28690</v>
      </c>
      <c r="F70" t="n">
        <v>800.6100000000006</v>
      </c>
      <c r="G70" t="n">
        <v/>
      </c>
      <c r="H70" t="n">
        <v>0.2134</v>
      </c>
      <c r="I70" t="n">
        <v>170.8501740000001</v>
      </c>
      <c r="J70" t="n">
        <v>47533</v>
      </c>
      <c r="K70" t="n">
        <v>13101.09</v>
      </c>
    </row>
    <row r="71">
      <c r="A71" t="n">
        <v>2025</v>
      </c>
      <c r="B71" t="n">
        <v>11</v>
      </c>
      <c r="C71" t="inlineStr">
        <is>
          <t>F02</t>
        </is>
      </c>
      <c r="D71" t="n">
        <v/>
      </c>
      <c r="E71" t="n">
        <v/>
      </c>
      <c r="F71" t="n">
        <v/>
      </c>
      <c r="G71" t="n">
        <v/>
      </c>
      <c r="H71" t="n">
        <v>0</v>
      </c>
      <c r="I71" t="n">
        <v/>
      </c>
      <c r="J71" t="n">
        <v>0</v>
      </c>
      <c r="K71" t="n">
        <v>0</v>
      </c>
    </row>
    <row r="72">
      <c r="A72" t="n">
        <v>2025</v>
      </c>
      <c r="B72" t="n">
        <v>12</v>
      </c>
      <c r="C72" t="inlineStr">
        <is>
          <t>F02</t>
        </is>
      </c>
      <c r="D72" t="n">
        <v/>
      </c>
      <c r="E72" t="n">
        <v/>
      </c>
      <c r="F72" t="n">
        <v/>
      </c>
      <c r="G72" t="n">
        <v/>
      </c>
      <c r="H72" t="n">
        <v>0</v>
      </c>
      <c r="I72" t="n">
        <v/>
      </c>
      <c r="J72" t="n">
        <v>0</v>
      </c>
      <c r="K72" t="n">
        <v>0</v>
      </c>
    </row>
    <row r="73">
      <c r="A73" t="n">
        <v>2024</v>
      </c>
      <c r="B73" t="n">
        <v>1</v>
      </c>
      <c r="C73" t="inlineStr">
        <is>
          <t>F03</t>
        </is>
      </c>
      <c r="D73" t="n">
        <v>181.16</v>
      </c>
      <c r="E73" t="n">
        <v>157102</v>
      </c>
      <c r="F73" t="n">
        <v/>
      </c>
      <c r="G73" t="n">
        <v/>
      </c>
      <c r="H73" t="n">
        <v>0.2557</v>
      </c>
      <c r="I73" t="n">
        <v/>
      </c>
      <c r="J73" t="n">
        <v>64934</v>
      </c>
      <c r="K73" t="n">
        <v>16601.39</v>
      </c>
    </row>
    <row r="74">
      <c r="A74" t="n">
        <v>2024</v>
      </c>
      <c r="B74" t="n">
        <v>2</v>
      </c>
      <c r="C74" t="inlineStr">
        <is>
          <t>F03</t>
        </is>
      </c>
      <c r="D74" t="n">
        <v>228.07</v>
      </c>
      <c r="E74" t="n">
        <v>144108</v>
      </c>
      <c r="F74" t="n">
        <v/>
      </c>
      <c r="G74" t="n">
        <v/>
      </c>
      <c r="H74" t="n">
        <v>0.2378</v>
      </c>
      <c r="I74" t="n">
        <v/>
      </c>
      <c r="J74" t="n">
        <v>71197</v>
      </c>
      <c r="K74" t="n">
        <v>16934</v>
      </c>
    </row>
    <row r="75">
      <c r="A75" t="n">
        <v>2024</v>
      </c>
      <c r="B75" t="n">
        <v>3</v>
      </c>
      <c r="C75" t="inlineStr">
        <is>
          <t>F03</t>
        </is>
      </c>
      <c r="D75" t="n">
        <v>14.89</v>
      </c>
      <c r="E75" t="n">
        <v>11200</v>
      </c>
      <c r="F75" t="n">
        <v/>
      </c>
      <c r="G75" t="n">
        <v/>
      </c>
      <c r="H75" t="n">
        <v>0.2428</v>
      </c>
      <c r="I75" t="n">
        <v/>
      </c>
      <c r="J75" t="n">
        <v>51152</v>
      </c>
      <c r="K75" t="n">
        <v>12419.74</v>
      </c>
    </row>
    <row r="76">
      <c r="A76" t="n">
        <v>2024</v>
      </c>
      <c r="B76" t="n">
        <v>4</v>
      </c>
      <c r="C76" t="inlineStr">
        <is>
          <t>F03</t>
        </is>
      </c>
      <c r="D76" t="n">
        <v>12.3</v>
      </c>
      <c r="E76" t="n">
        <v>4860</v>
      </c>
      <c r="F76" t="n">
        <v/>
      </c>
      <c r="G76" t="n">
        <v/>
      </c>
      <c r="H76" t="n">
        <v>0.2416</v>
      </c>
      <c r="I76" t="n">
        <v/>
      </c>
      <c r="J76" t="n">
        <v>45316</v>
      </c>
      <c r="K76" t="n">
        <v>10948.47</v>
      </c>
    </row>
    <row r="77">
      <c r="A77" t="n">
        <v>2024</v>
      </c>
      <c r="B77" t="n">
        <v>5</v>
      </c>
      <c r="C77" t="inlineStr">
        <is>
          <t>F03</t>
        </is>
      </c>
      <c r="D77" t="n">
        <v>133.93</v>
      </c>
      <c r="E77" t="n">
        <v>75309</v>
      </c>
      <c r="F77" t="n">
        <v/>
      </c>
      <c r="G77" t="n">
        <v/>
      </c>
      <c r="H77" t="n">
        <v>0.2507</v>
      </c>
      <c r="I77" t="n">
        <v/>
      </c>
      <c r="J77" t="n">
        <v>51330</v>
      </c>
      <c r="K77" t="n">
        <v>12868.58</v>
      </c>
    </row>
    <row r="78">
      <c r="A78" t="n">
        <v>2024</v>
      </c>
      <c r="B78" t="n">
        <v>6</v>
      </c>
      <c r="C78" t="inlineStr">
        <is>
          <t>F03</t>
        </is>
      </c>
      <c r="D78" t="n">
        <v>9.27</v>
      </c>
      <c r="E78" t="n">
        <v>3083</v>
      </c>
      <c r="F78" t="n">
        <v/>
      </c>
      <c r="G78" t="n">
        <v/>
      </c>
      <c r="H78" t="n">
        <v>0.2722</v>
      </c>
      <c r="I78" t="n">
        <v/>
      </c>
      <c r="J78" t="n">
        <v>42151</v>
      </c>
      <c r="K78" t="n">
        <v>11473.9</v>
      </c>
    </row>
    <row r="79">
      <c r="A79" t="n">
        <v>2024</v>
      </c>
      <c r="B79" t="n">
        <v>7</v>
      </c>
      <c r="C79" t="inlineStr">
        <is>
          <t>F03</t>
        </is>
      </c>
      <c r="D79" t="n">
        <v>93.51000000000001</v>
      </c>
      <c r="E79" t="n">
        <v>68064</v>
      </c>
      <c r="F79" t="n">
        <v/>
      </c>
      <c r="G79" t="n">
        <v/>
      </c>
      <c r="H79" t="n">
        <v>0.287</v>
      </c>
      <c r="I79" t="n">
        <v/>
      </c>
      <c r="J79" t="n">
        <v>67581</v>
      </c>
      <c r="K79" t="n">
        <v>19396.73</v>
      </c>
    </row>
    <row r="80">
      <c r="A80" t="n">
        <v>2024</v>
      </c>
      <c r="B80" t="n">
        <v>8</v>
      </c>
      <c r="C80" t="inlineStr">
        <is>
          <t>F03</t>
        </is>
      </c>
      <c r="D80" t="n">
        <v>130.57</v>
      </c>
      <c r="E80" t="n">
        <v>106836</v>
      </c>
      <c r="F80" t="n">
        <v/>
      </c>
      <c r="G80" t="n">
        <v/>
      </c>
      <c r="H80" t="n">
        <v>0.3047</v>
      </c>
      <c r="I80" t="n">
        <v/>
      </c>
      <c r="J80" t="n">
        <v>44796</v>
      </c>
      <c r="K80" t="n">
        <v>13651.04</v>
      </c>
    </row>
    <row r="81">
      <c r="A81" t="n">
        <v>2024</v>
      </c>
      <c r="B81" t="n">
        <v>9</v>
      </c>
      <c r="C81" t="inlineStr">
        <is>
          <t>F03</t>
        </is>
      </c>
      <c r="D81" t="n">
        <v>51.16</v>
      </c>
      <c r="E81" t="n">
        <v>37600</v>
      </c>
      <c r="F81" t="n">
        <v/>
      </c>
      <c r="G81" t="n">
        <v/>
      </c>
      <c r="H81" t="n">
        <v>0.2904</v>
      </c>
      <c r="I81" t="n">
        <v/>
      </c>
      <c r="J81" t="n">
        <v>52599</v>
      </c>
      <c r="K81" t="n">
        <v>15277.15</v>
      </c>
    </row>
    <row r="82">
      <c r="A82" t="n">
        <v>2024</v>
      </c>
      <c r="B82" t="n">
        <v>10</v>
      </c>
      <c r="C82" t="inlineStr">
        <is>
          <t>F03</t>
        </is>
      </c>
      <c r="D82" t="n">
        <v>66.31999999999999</v>
      </c>
      <c r="E82" t="n">
        <v>48808</v>
      </c>
      <c r="F82" t="n">
        <v/>
      </c>
      <c r="G82" t="n">
        <v/>
      </c>
      <c r="H82" t="n">
        <v>0.2856</v>
      </c>
      <c r="I82" t="n">
        <v/>
      </c>
      <c r="J82" t="n">
        <v>54362</v>
      </c>
      <c r="K82" t="n">
        <v>15523.99</v>
      </c>
    </row>
    <row r="83">
      <c r="A83" t="n">
        <v>2024</v>
      </c>
      <c r="B83" t="n">
        <v>11</v>
      </c>
      <c r="C83" t="inlineStr">
        <is>
          <t>F03</t>
        </is>
      </c>
      <c r="D83" t="n">
        <v>100.6</v>
      </c>
      <c r="E83" t="n">
        <v>71217</v>
      </c>
      <c r="F83" t="n">
        <v>931.3500000000001</v>
      </c>
      <c r="G83" t="n">
        <v/>
      </c>
      <c r="H83" t="n">
        <v>0.307</v>
      </c>
      <c r="I83" t="n">
        <v>285.92445</v>
      </c>
      <c r="J83" t="n">
        <v>64157</v>
      </c>
      <c r="K83" t="n">
        <v>19751.41</v>
      </c>
    </row>
    <row r="84">
      <c r="A84" t="n">
        <v>2024</v>
      </c>
      <c r="B84" t="n">
        <v>12</v>
      </c>
      <c r="C84" t="inlineStr">
        <is>
          <t>F03</t>
        </is>
      </c>
      <c r="D84" t="n">
        <v>18.7</v>
      </c>
      <c r="E84" t="n">
        <v>7167</v>
      </c>
      <c r="F84" t="n">
        <v>138.4599999999998</v>
      </c>
      <c r="G84" t="n">
        <v/>
      </c>
      <c r="H84" t="n">
        <v>0.331</v>
      </c>
      <c r="I84" t="n">
        <v>45.83025999999994</v>
      </c>
      <c r="J84" t="n">
        <v>51593</v>
      </c>
      <c r="K84" t="n">
        <v>17063.94</v>
      </c>
    </row>
    <row r="85">
      <c r="A85" t="n">
        <v>2025</v>
      </c>
      <c r="B85" t="n">
        <v>1</v>
      </c>
      <c r="C85" t="inlineStr">
        <is>
          <t>F03</t>
        </is>
      </c>
      <c r="D85" t="n">
        <v>112.5</v>
      </c>
      <c r="E85" t="n">
        <v>32200</v>
      </c>
      <c r="F85" t="n">
        <v>562.6800000000001</v>
      </c>
      <c r="G85" t="n">
        <v/>
      </c>
      <c r="H85" t="n">
        <v>0.335</v>
      </c>
      <c r="I85" t="n">
        <v>188.4978</v>
      </c>
      <c r="J85" t="n">
        <v>61904</v>
      </c>
      <c r="K85" t="n">
        <v>20875.39</v>
      </c>
    </row>
    <row r="86">
      <c r="A86" t="n">
        <v>2025</v>
      </c>
      <c r="B86" t="n">
        <v>2</v>
      </c>
      <c r="C86" t="inlineStr">
        <is>
          <t>F03</t>
        </is>
      </c>
      <c r="D86" t="n">
        <v>137.8</v>
      </c>
      <c r="E86" t="n">
        <v>57200</v>
      </c>
      <c r="F86" t="n">
        <v>838.1299999999999</v>
      </c>
      <c r="G86" t="n">
        <v/>
      </c>
      <c r="H86" t="n">
        <v>0.334</v>
      </c>
      <c r="I86" t="n">
        <v>279.93542</v>
      </c>
      <c r="J86" t="n">
        <v>60366</v>
      </c>
      <c r="K86" t="n">
        <v>20173.7</v>
      </c>
    </row>
    <row r="87">
      <c r="A87" t="n">
        <v>2025</v>
      </c>
      <c r="B87" t="n">
        <v>3</v>
      </c>
      <c r="C87" t="inlineStr">
        <is>
          <t>F03</t>
        </is>
      </c>
      <c r="D87" t="n">
        <v>80.09999999999999</v>
      </c>
      <c r="E87" t="n">
        <v>46789</v>
      </c>
      <c r="F87" t="n">
        <v>740.02</v>
      </c>
      <c r="G87" t="n">
        <v/>
      </c>
      <c r="H87" t="n">
        <v>0.286</v>
      </c>
      <c r="I87" t="n">
        <v>211.64572</v>
      </c>
      <c r="J87" t="n">
        <v>58209</v>
      </c>
      <c r="K87" t="n">
        <v>16648.58</v>
      </c>
    </row>
    <row r="88">
      <c r="A88" t="n">
        <v>2025</v>
      </c>
      <c r="B88" t="n">
        <v>4</v>
      </c>
      <c r="C88" t="inlineStr">
        <is>
          <t>F03</t>
        </is>
      </c>
      <c r="D88" t="n">
        <v>167.4</v>
      </c>
      <c r="E88" t="n">
        <v>36400</v>
      </c>
      <c r="F88" t="n">
        <v>742.4700000000003</v>
      </c>
      <c r="G88" t="n">
        <v/>
      </c>
      <c r="H88" t="n">
        <v>0.2655</v>
      </c>
      <c r="I88" t="n">
        <v>197.1257850000001</v>
      </c>
      <c r="J88" t="n">
        <v>41269</v>
      </c>
      <c r="K88" t="n">
        <v>10956.7</v>
      </c>
    </row>
    <row r="89">
      <c r="A89" t="n">
        <v>2025</v>
      </c>
      <c r="B89" t="n">
        <v>5</v>
      </c>
      <c r="C89" t="inlineStr">
        <is>
          <t>F03</t>
        </is>
      </c>
      <c r="D89" t="n">
        <v>4.4</v>
      </c>
      <c r="E89" t="n">
        <v>1303</v>
      </c>
      <c r="F89" t="n">
        <v>78.84999999999945</v>
      </c>
      <c r="G89" t="n">
        <v/>
      </c>
      <c r="H89" t="n">
        <v>0.2575</v>
      </c>
      <c r="I89" t="n">
        <v>20.30387499999986</v>
      </c>
      <c r="J89" t="n">
        <v>30809</v>
      </c>
      <c r="K89" t="n">
        <v>7932.95</v>
      </c>
    </row>
    <row r="90">
      <c r="A90" t="n">
        <v>2025</v>
      </c>
      <c r="B90" t="n">
        <v>6</v>
      </c>
      <c r="C90" t="inlineStr">
        <is>
          <t>F03</t>
        </is>
      </c>
      <c r="D90" t="n">
        <v>21.1</v>
      </c>
      <c r="E90" t="n">
        <v>12400</v>
      </c>
      <c r="F90" t="n">
        <v>99.57000000000062</v>
      </c>
      <c r="G90" t="n">
        <v/>
      </c>
      <c r="H90" t="n">
        <v>0.355</v>
      </c>
      <c r="I90" t="n">
        <v>35.34735000000022</v>
      </c>
      <c r="J90" t="n">
        <v>33644</v>
      </c>
      <c r="K90" t="n">
        <v>11949.42</v>
      </c>
    </row>
    <row r="91">
      <c r="A91" t="n">
        <v>2025</v>
      </c>
      <c r="B91" t="n">
        <v>7</v>
      </c>
      <c r="C91" t="inlineStr">
        <is>
          <t>F03</t>
        </is>
      </c>
      <c r="D91" t="n">
        <v>113</v>
      </c>
      <c r="E91" t="n">
        <v>79954</v>
      </c>
      <c r="F91" t="n">
        <v>622.5300000000007</v>
      </c>
      <c r="G91" t="n">
        <v/>
      </c>
      <c r="H91" t="n">
        <v>0.296</v>
      </c>
      <c r="I91" t="n">
        <v>184.2688800000002</v>
      </c>
      <c r="J91" t="n">
        <v>51483</v>
      </c>
      <c r="K91" t="n">
        <v>15262.33</v>
      </c>
    </row>
    <row r="92">
      <c r="A92" t="n">
        <v>2025</v>
      </c>
      <c r="B92" t="n">
        <v>8</v>
      </c>
      <c r="C92" t="inlineStr">
        <is>
          <t>F03</t>
        </is>
      </c>
      <c r="D92" t="n">
        <v>0</v>
      </c>
      <c r="E92" t="n">
        <v>0</v>
      </c>
      <c r="F92" t="n">
        <v>24.92999999999938</v>
      </c>
      <c r="G92" t="n">
        <v/>
      </c>
      <c r="H92" t="n">
        <v>0.3268</v>
      </c>
      <c r="I92" t="n">
        <v>8.147123999999797</v>
      </c>
      <c r="J92" t="n">
        <v>17650</v>
      </c>
      <c r="K92" t="n">
        <v>5768.63</v>
      </c>
    </row>
    <row r="93">
      <c r="A93" t="n">
        <v>2025</v>
      </c>
      <c r="B93" t="n">
        <v>9</v>
      </c>
      <c r="C93" t="inlineStr">
        <is>
          <t>F03</t>
        </is>
      </c>
      <c r="D93" t="n">
        <v>115.01</v>
      </c>
      <c r="E93" t="n">
        <v>88600</v>
      </c>
      <c r="F93" t="n">
        <v>786.9700000000003</v>
      </c>
      <c r="G93" t="n">
        <v/>
      </c>
      <c r="H93" t="n">
        <v>0.2732</v>
      </c>
      <c r="I93" t="n">
        <v>215.0002040000001</v>
      </c>
      <c r="J93" t="n">
        <v>47214</v>
      </c>
      <c r="K93" t="n">
        <v>12897.86</v>
      </c>
    </row>
    <row r="94">
      <c r="A94" t="n">
        <v>2025</v>
      </c>
      <c r="B94" t="n">
        <v>10</v>
      </c>
      <c r="C94" t="inlineStr">
        <is>
          <t>F03</t>
        </is>
      </c>
      <c r="D94" t="n">
        <v>4.04</v>
      </c>
      <c r="E94" t="n">
        <v>2000</v>
      </c>
      <c r="F94" t="n">
        <v>401.6500000000005</v>
      </c>
      <c r="G94" t="n">
        <v/>
      </c>
      <c r="H94" t="n">
        <v>0.2134</v>
      </c>
      <c r="I94" t="n">
        <v>85.71211000000011</v>
      </c>
      <c r="J94" t="n">
        <v>47533</v>
      </c>
      <c r="K94" t="n">
        <v>13101.09</v>
      </c>
    </row>
    <row r="95">
      <c r="A95" t="n">
        <v>2025</v>
      </c>
      <c r="B95" t="n">
        <v>11</v>
      </c>
      <c r="C95" t="inlineStr">
        <is>
          <t>F03</t>
        </is>
      </c>
      <c r="D95" t="n">
        <v/>
      </c>
      <c r="E95" t="n">
        <v/>
      </c>
      <c r="F95" t="n">
        <v/>
      </c>
      <c r="G95" t="n">
        <v/>
      </c>
      <c r="H95" t="n">
        <v>0</v>
      </c>
      <c r="I95" t="n">
        <v/>
      </c>
      <c r="J95" t="n">
        <v>0</v>
      </c>
      <c r="K95" t="n">
        <v>0</v>
      </c>
    </row>
    <row r="96">
      <c r="A96" t="n">
        <v>2025</v>
      </c>
      <c r="B96" t="n">
        <v>12</v>
      </c>
      <c r="C96" t="inlineStr">
        <is>
          <t>F03</t>
        </is>
      </c>
      <c r="D96" t="n">
        <v/>
      </c>
      <c r="E96" t="n">
        <v/>
      </c>
      <c r="F96" t="n">
        <v/>
      </c>
      <c r="G96" t="n">
        <v/>
      </c>
      <c r="H96" t="n">
        <v>0</v>
      </c>
      <c r="I96" t="n">
        <v/>
      </c>
      <c r="J96" t="n">
        <v>0</v>
      </c>
      <c r="K96" t="n">
        <v>0</v>
      </c>
    </row>
    <row r="97">
      <c r="A97" t="n">
        <v>2024</v>
      </c>
      <c r="B97" t="n">
        <v>1</v>
      </c>
      <c r="C97" t="inlineStr">
        <is>
          <t>F04</t>
        </is>
      </c>
      <c r="D97" t="n">
        <v>127.93</v>
      </c>
      <c r="E97" t="n">
        <v>172860</v>
      </c>
      <c r="F97" t="n">
        <v/>
      </c>
      <c r="G97" t="n">
        <v/>
      </c>
      <c r="H97" t="n">
        <v>0.2557</v>
      </c>
      <c r="I97" t="n">
        <v/>
      </c>
      <c r="J97" t="n">
        <v>64934</v>
      </c>
      <c r="K97" t="n">
        <v>16601.39</v>
      </c>
    </row>
    <row r="98">
      <c r="A98" t="n">
        <v>2024</v>
      </c>
      <c r="B98" t="n">
        <v>2</v>
      </c>
      <c r="C98" t="inlineStr">
        <is>
          <t>F04</t>
        </is>
      </c>
      <c r="D98" t="n">
        <v>102.95</v>
      </c>
      <c r="E98" t="n">
        <v>61844</v>
      </c>
      <c r="F98" t="n">
        <v/>
      </c>
      <c r="G98" t="n">
        <v/>
      </c>
      <c r="H98" t="n">
        <v>0.2378</v>
      </c>
      <c r="I98" t="n">
        <v/>
      </c>
      <c r="J98" t="n">
        <v>71197</v>
      </c>
      <c r="K98" t="n">
        <v>16934</v>
      </c>
    </row>
    <row r="99">
      <c r="A99" t="n">
        <v>2024</v>
      </c>
      <c r="B99" t="n">
        <v>3</v>
      </c>
      <c r="C99" t="inlineStr">
        <is>
          <t>F04</t>
        </is>
      </c>
      <c r="D99" t="n">
        <v>7.27</v>
      </c>
      <c r="E99" t="n">
        <v>6400</v>
      </c>
      <c r="F99" t="n">
        <v/>
      </c>
      <c r="G99" t="n">
        <v/>
      </c>
      <c r="H99" t="n">
        <v>0.2428</v>
      </c>
      <c r="I99" t="n">
        <v/>
      </c>
      <c r="J99" t="n">
        <v>51152</v>
      </c>
      <c r="K99" t="n">
        <v>12419.74</v>
      </c>
    </row>
    <row r="100">
      <c r="A100" t="n">
        <v>2024</v>
      </c>
      <c r="B100" t="n">
        <v>4</v>
      </c>
      <c r="C100" t="inlineStr">
        <is>
          <t>F04</t>
        </is>
      </c>
      <c r="D100" t="n">
        <v>48.6</v>
      </c>
      <c r="E100" t="n">
        <v>81568</v>
      </c>
      <c r="F100" t="n">
        <v/>
      </c>
      <c r="G100" t="n">
        <v/>
      </c>
      <c r="H100" t="n">
        <v>0.2416</v>
      </c>
      <c r="I100" t="n">
        <v/>
      </c>
      <c r="J100" t="n">
        <v>45316</v>
      </c>
      <c r="K100" t="n">
        <v>10948.47</v>
      </c>
    </row>
    <row r="101">
      <c r="A101" t="n">
        <v>2024</v>
      </c>
      <c r="B101" t="n">
        <v>5</v>
      </c>
      <c r="C101" t="inlineStr">
        <is>
          <t>F04</t>
        </is>
      </c>
      <c r="D101" t="n">
        <v>20.81</v>
      </c>
      <c r="E101" t="n">
        <v>11408</v>
      </c>
      <c r="F101" t="n">
        <v/>
      </c>
      <c r="G101" t="n">
        <v/>
      </c>
      <c r="H101" t="n">
        <v>0.2507</v>
      </c>
      <c r="I101" t="n">
        <v/>
      </c>
      <c r="J101" t="n">
        <v>51330</v>
      </c>
      <c r="K101" t="n">
        <v>12868.58</v>
      </c>
    </row>
    <row r="102">
      <c r="A102" t="n">
        <v>2024</v>
      </c>
      <c r="B102" t="n">
        <v>6</v>
      </c>
      <c r="C102" t="inlineStr">
        <is>
          <t>F04</t>
        </is>
      </c>
      <c r="D102" t="n">
        <v>63.95</v>
      </c>
      <c r="E102" t="n">
        <v>28352</v>
      </c>
      <c r="F102" t="n">
        <v/>
      </c>
      <c r="G102" t="n">
        <v/>
      </c>
      <c r="H102" t="n">
        <v>0.2722</v>
      </c>
      <c r="I102" t="n">
        <v/>
      </c>
      <c r="J102" t="n">
        <v>42151</v>
      </c>
      <c r="K102" t="n">
        <v>11473.9</v>
      </c>
    </row>
    <row r="103">
      <c r="A103" t="n">
        <v>2024</v>
      </c>
      <c r="B103" t="n">
        <v>7</v>
      </c>
      <c r="C103" t="inlineStr">
        <is>
          <t>F04</t>
        </is>
      </c>
      <c r="D103" t="n">
        <v>87.18000000000001</v>
      </c>
      <c r="E103" t="n">
        <v>60676</v>
      </c>
      <c r="F103" t="n">
        <v/>
      </c>
      <c r="G103" t="n">
        <v/>
      </c>
      <c r="H103" t="n">
        <v>0.287</v>
      </c>
      <c r="I103" t="n">
        <v/>
      </c>
      <c r="J103" t="n">
        <v>67581</v>
      </c>
      <c r="K103" t="n">
        <v>19396.73</v>
      </c>
    </row>
    <row r="104">
      <c r="A104" t="n">
        <v>2024</v>
      </c>
      <c r="B104" t="n">
        <v>8</v>
      </c>
      <c r="C104" t="inlineStr">
        <is>
          <t>F04</t>
        </is>
      </c>
      <c r="D104" t="n">
        <v>64.86</v>
      </c>
      <c r="E104" t="n">
        <v>20800</v>
      </c>
      <c r="F104" t="n">
        <v/>
      </c>
      <c r="G104" t="n">
        <v/>
      </c>
      <c r="H104" t="n">
        <v>0.3047</v>
      </c>
      <c r="I104" t="n">
        <v/>
      </c>
      <c r="J104" t="n">
        <v>44796</v>
      </c>
      <c r="K104" t="n">
        <v>13651.04</v>
      </c>
    </row>
    <row r="105">
      <c r="A105" t="n">
        <v>2024</v>
      </c>
      <c r="B105" t="n">
        <v>9</v>
      </c>
      <c r="C105" t="inlineStr">
        <is>
          <t>F04</t>
        </is>
      </c>
      <c r="D105" t="n">
        <v>49.66</v>
      </c>
      <c r="E105" t="n">
        <v>19730</v>
      </c>
      <c r="F105" t="n">
        <v/>
      </c>
      <c r="G105" t="n">
        <v/>
      </c>
      <c r="H105" t="n">
        <v>0.2904</v>
      </c>
      <c r="I105" t="n">
        <v/>
      </c>
      <c r="J105" t="n">
        <v>52599</v>
      </c>
      <c r="K105" t="n">
        <v>15277.15</v>
      </c>
    </row>
    <row r="106">
      <c r="A106" t="n">
        <v>2024</v>
      </c>
      <c r="B106" t="n">
        <v>10</v>
      </c>
      <c r="C106" t="inlineStr">
        <is>
          <t>F04</t>
        </is>
      </c>
      <c r="D106" t="n">
        <v>162.34</v>
      </c>
      <c r="E106" t="n">
        <v>151024</v>
      </c>
      <c r="F106" t="n">
        <v/>
      </c>
      <c r="G106" t="n">
        <v/>
      </c>
      <c r="H106" t="n">
        <v>0.2856</v>
      </c>
      <c r="I106" t="n">
        <v/>
      </c>
      <c r="J106" t="n">
        <v>54362</v>
      </c>
      <c r="K106" t="n">
        <v>15523.99</v>
      </c>
    </row>
    <row r="107">
      <c r="A107" t="n">
        <v>2024</v>
      </c>
      <c r="B107" t="n">
        <v>11</v>
      </c>
      <c r="C107" t="inlineStr">
        <is>
          <t>F04</t>
        </is>
      </c>
      <c r="D107" t="n">
        <v>9.6</v>
      </c>
      <c r="E107" t="n">
        <v>6000</v>
      </c>
      <c r="F107" t="n">
        <v>243.9699999999866</v>
      </c>
      <c r="G107" t="n">
        <v/>
      </c>
      <c r="H107" t="n">
        <v>0.307</v>
      </c>
      <c r="I107" t="n">
        <v>74.89878999999588</v>
      </c>
      <c r="J107" t="n">
        <v>64157</v>
      </c>
      <c r="K107" t="n">
        <v>19751.41</v>
      </c>
    </row>
    <row r="108">
      <c r="A108" t="n">
        <v>2024</v>
      </c>
      <c r="B108" t="n">
        <v>12</v>
      </c>
      <c r="C108" t="inlineStr">
        <is>
          <t>F04</t>
        </is>
      </c>
      <c r="D108" t="n">
        <v>99.3</v>
      </c>
      <c r="E108" t="n">
        <v>50921</v>
      </c>
      <c r="F108" t="n">
        <v>836.2699999999895</v>
      </c>
      <c r="G108" t="n">
        <v/>
      </c>
      <c r="H108" t="n">
        <v>0.331</v>
      </c>
      <c r="I108" t="n">
        <v>276.8053699999966</v>
      </c>
      <c r="J108" t="n">
        <v>51593</v>
      </c>
      <c r="K108" t="n">
        <v>17063.94</v>
      </c>
    </row>
    <row r="109">
      <c r="A109" t="n">
        <v>2025</v>
      </c>
      <c r="B109" t="n">
        <v>1</v>
      </c>
      <c r="C109" t="inlineStr">
        <is>
          <t>F04</t>
        </is>
      </c>
      <c r="D109" t="n">
        <v>112.9</v>
      </c>
      <c r="E109" t="n">
        <v>99119</v>
      </c>
      <c r="F109" t="n">
        <v>1220.5</v>
      </c>
      <c r="G109" t="n">
        <v/>
      </c>
      <c r="H109" t="n">
        <v>0.335</v>
      </c>
      <c r="I109" t="n">
        <v>408.8675</v>
      </c>
      <c r="J109" t="n">
        <v>61904</v>
      </c>
      <c r="K109" t="n">
        <v>20875.39</v>
      </c>
    </row>
    <row r="110">
      <c r="A110" t="n">
        <v>2025</v>
      </c>
      <c r="B110" t="n">
        <v>2</v>
      </c>
      <c r="C110" t="inlineStr">
        <is>
          <t>F04</t>
        </is>
      </c>
      <c r="D110" t="n">
        <v>129</v>
      </c>
      <c r="E110" t="n">
        <v>90878</v>
      </c>
      <c r="F110" t="n">
        <v>838.9600000000064</v>
      </c>
      <c r="G110" t="n">
        <v/>
      </c>
      <c r="H110" t="n">
        <v>0.334</v>
      </c>
      <c r="I110" t="n">
        <v>280.2126400000022</v>
      </c>
      <c r="J110" t="n">
        <v>60366</v>
      </c>
      <c r="K110" t="n">
        <v>20173.7</v>
      </c>
    </row>
    <row r="111">
      <c r="A111" t="n">
        <v>2025</v>
      </c>
      <c r="B111" t="n">
        <v>3</v>
      </c>
      <c r="C111" t="inlineStr">
        <is>
          <t>F04</t>
        </is>
      </c>
      <c r="D111" t="n">
        <v>193.5</v>
      </c>
      <c r="E111" t="n">
        <v>182385</v>
      </c>
      <c r="F111" t="n">
        <v>1330.610000000001</v>
      </c>
      <c r="G111" t="n">
        <v/>
      </c>
      <c r="H111" t="n">
        <v>0.286</v>
      </c>
      <c r="I111" t="n">
        <v>380.5544600000003</v>
      </c>
      <c r="J111" t="n">
        <v>58209</v>
      </c>
      <c r="K111" t="n">
        <v>16648.58</v>
      </c>
    </row>
    <row r="112">
      <c r="A112" t="n">
        <v>2025</v>
      </c>
      <c r="B112" t="n">
        <v>4</v>
      </c>
      <c r="C112" t="inlineStr">
        <is>
          <t>F04</t>
        </is>
      </c>
      <c r="D112" t="n">
        <v>27.1</v>
      </c>
      <c r="E112" t="n">
        <v>22558</v>
      </c>
      <c r="F112" t="n">
        <v>566.8899999999994</v>
      </c>
      <c r="G112" t="n">
        <v/>
      </c>
      <c r="H112" t="n">
        <v>0.2655</v>
      </c>
      <c r="I112" t="n">
        <v>150.5092949999999</v>
      </c>
      <c r="J112" t="n">
        <v>41269</v>
      </c>
      <c r="K112" t="n">
        <v>10956.7</v>
      </c>
    </row>
    <row r="113">
      <c r="A113" t="n">
        <v>2025</v>
      </c>
      <c r="B113" t="n">
        <v>5</v>
      </c>
      <c r="C113" t="inlineStr">
        <is>
          <t>F04</t>
        </is>
      </c>
      <c r="D113" t="n">
        <v>22.7</v>
      </c>
      <c r="E113" t="n">
        <v>13000</v>
      </c>
      <c r="F113" t="n">
        <v>460.4599999999919</v>
      </c>
      <c r="G113" t="n">
        <v/>
      </c>
      <c r="H113" t="n">
        <v>0.2575</v>
      </c>
      <c r="I113" t="n">
        <v>118.5684499999979</v>
      </c>
      <c r="J113" t="n">
        <v>30809</v>
      </c>
      <c r="K113" t="n">
        <v>7932.95</v>
      </c>
    </row>
    <row r="114">
      <c r="A114" t="n">
        <v>2025</v>
      </c>
      <c r="B114" t="n">
        <v>6</v>
      </c>
      <c r="C114" t="inlineStr">
        <is>
          <t>F04</t>
        </is>
      </c>
      <c r="D114" t="n">
        <v>66.8</v>
      </c>
      <c r="E114" t="n">
        <v>36424</v>
      </c>
      <c r="F114" t="n">
        <v>1011.510000000009</v>
      </c>
      <c r="G114" t="n">
        <v/>
      </c>
      <c r="H114" t="n">
        <v>0.355</v>
      </c>
      <c r="I114" t="n">
        <v>359.0860500000032</v>
      </c>
      <c r="J114" t="n">
        <v>33644</v>
      </c>
      <c r="K114" t="n">
        <v>11949.42</v>
      </c>
    </row>
    <row r="115">
      <c r="A115" t="n">
        <v>2025</v>
      </c>
      <c r="B115" t="n">
        <v>7</v>
      </c>
      <c r="C115" t="inlineStr">
        <is>
          <t>F04</t>
        </is>
      </c>
      <c r="D115" t="n">
        <v>201.7</v>
      </c>
      <c r="E115" t="n">
        <v>124631</v>
      </c>
      <c r="F115" t="n">
        <v>1784</v>
      </c>
      <c r="G115" t="n">
        <v/>
      </c>
      <c r="H115" t="n">
        <v>0.296</v>
      </c>
      <c r="I115" t="n">
        <v>528.064</v>
      </c>
      <c r="J115" t="n">
        <v>51483</v>
      </c>
      <c r="K115" t="n">
        <v>15262.33</v>
      </c>
    </row>
    <row r="116">
      <c r="A116" t="n">
        <v>2025</v>
      </c>
      <c r="B116" t="n">
        <v>8</v>
      </c>
      <c r="C116" t="inlineStr">
        <is>
          <t>F04</t>
        </is>
      </c>
      <c r="D116" t="n">
        <v>18.37</v>
      </c>
      <c r="E116" t="n">
        <v>9065</v>
      </c>
      <c r="F116" t="n">
        <v>363.2899999999936</v>
      </c>
      <c r="G116" t="n">
        <v/>
      </c>
      <c r="H116" t="n">
        <v>0.3268</v>
      </c>
      <c r="I116" t="n">
        <v>118.7231719999979</v>
      </c>
      <c r="J116" t="n">
        <v>17650</v>
      </c>
      <c r="K116" t="n">
        <v>5768.63</v>
      </c>
    </row>
    <row r="117">
      <c r="A117" t="n">
        <v>2025</v>
      </c>
      <c r="B117" t="n">
        <v>9</v>
      </c>
      <c r="C117" t="inlineStr">
        <is>
          <t>F04</t>
        </is>
      </c>
      <c r="D117" t="n">
        <v>53.02</v>
      </c>
      <c r="E117" t="n">
        <v>44000</v>
      </c>
      <c r="F117" t="n">
        <v>752.9199999999983</v>
      </c>
      <c r="G117" t="n">
        <v/>
      </c>
      <c r="H117" t="n">
        <v>0.2732</v>
      </c>
      <c r="I117" t="n">
        <v>205.6977439999995</v>
      </c>
      <c r="J117" t="n">
        <v>47214</v>
      </c>
      <c r="K117" t="n">
        <v>12897.86</v>
      </c>
    </row>
    <row r="118">
      <c r="A118" t="n">
        <v>2025</v>
      </c>
      <c r="B118" t="n">
        <v>10</v>
      </c>
      <c r="C118" t="inlineStr">
        <is>
          <t>F04</t>
        </is>
      </c>
      <c r="D118" t="n">
        <v>19.01</v>
      </c>
      <c r="E118" t="n">
        <v>9876</v>
      </c>
      <c r="F118" t="n">
        <v>935.3700000000099</v>
      </c>
      <c r="G118" t="n">
        <v/>
      </c>
      <c r="H118" t="n">
        <v>0.2134</v>
      </c>
      <c r="I118" t="n">
        <v>199.6079580000021</v>
      </c>
      <c r="J118" t="n">
        <v>47533</v>
      </c>
      <c r="K118" t="n">
        <v>13101.09</v>
      </c>
    </row>
    <row r="119">
      <c r="A119" t="n">
        <v>2025</v>
      </c>
      <c r="B119" t="n">
        <v>11</v>
      </c>
      <c r="C119" t="inlineStr">
        <is>
          <t>F04</t>
        </is>
      </c>
      <c r="D119" t="n">
        <v/>
      </c>
      <c r="E119" t="n">
        <v/>
      </c>
      <c r="F119" t="n">
        <v/>
      </c>
      <c r="G119" t="n">
        <v/>
      </c>
      <c r="H119" t="n">
        <v>0</v>
      </c>
      <c r="I119" t="n">
        <v>0</v>
      </c>
      <c r="J119" t="n">
        <v>0</v>
      </c>
      <c r="K119" t="n">
        <v>0</v>
      </c>
    </row>
    <row r="120">
      <c r="A120" t="n">
        <v>2025</v>
      </c>
      <c r="B120" t="n">
        <v>12</v>
      </c>
      <c r="C120" t="inlineStr">
        <is>
          <t>F04</t>
        </is>
      </c>
      <c r="D120" t="n">
        <v/>
      </c>
      <c r="E120" t="n">
        <v/>
      </c>
      <c r="F120" t="n">
        <v/>
      </c>
      <c r="G120" t="n">
        <v/>
      </c>
      <c r="H120" t="n">
        <v>0</v>
      </c>
      <c r="I120" t="n">
        <v>0</v>
      </c>
      <c r="J120" t="n">
        <v>0</v>
      </c>
      <c r="K120" t="n">
        <v>0</v>
      </c>
    </row>
    <row r="121">
      <c r="A121" t="n">
        <v>2024</v>
      </c>
      <c r="B121" t="n">
        <v>1</v>
      </c>
      <c r="C121" t="inlineStr">
        <is>
          <t>F05</t>
        </is>
      </c>
      <c r="D121" t="n">
        <v>53.21</v>
      </c>
      <c r="E121" t="n">
        <v>71235</v>
      </c>
      <c r="F121" t="n">
        <v/>
      </c>
      <c r="G121" t="n">
        <v/>
      </c>
      <c r="H121" t="n">
        <v>0.2557</v>
      </c>
      <c r="I121" t="n">
        <v/>
      </c>
      <c r="J121" t="n">
        <v>64934</v>
      </c>
      <c r="K121" t="n">
        <v>16601.39</v>
      </c>
    </row>
    <row r="122">
      <c r="A122" t="n">
        <v>2024</v>
      </c>
      <c r="B122" t="n">
        <v>2</v>
      </c>
      <c r="C122" t="inlineStr">
        <is>
          <t>F05</t>
        </is>
      </c>
      <c r="D122" t="n">
        <v>7.77</v>
      </c>
      <c r="E122" t="n">
        <v>11620</v>
      </c>
      <c r="F122" t="n">
        <v/>
      </c>
      <c r="G122" t="n">
        <v/>
      </c>
      <c r="H122" t="n">
        <v>0.2378</v>
      </c>
      <c r="I122" t="n">
        <v/>
      </c>
      <c r="J122" t="n">
        <v>71197</v>
      </c>
      <c r="K122" t="n">
        <v>16934</v>
      </c>
    </row>
    <row r="123">
      <c r="A123" t="n">
        <v>2024</v>
      </c>
      <c r="B123" t="n">
        <v>3</v>
      </c>
      <c r="C123" t="inlineStr">
        <is>
          <t>F05</t>
        </is>
      </c>
      <c r="D123" t="n">
        <v>101.11</v>
      </c>
      <c r="E123" t="n">
        <v>77660</v>
      </c>
      <c r="F123" t="n">
        <v/>
      </c>
      <c r="G123" t="n">
        <v/>
      </c>
      <c r="H123" t="n">
        <v>0.2428</v>
      </c>
      <c r="I123" t="n">
        <v/>
      </c>
      <c r="J123" t="n">
        <v>51152</v>
      </c>
      <c r="K123" t="n">
        <v>12419.74</v>
      </c>
    </row>
    <row r="124">
      <c r="A124" t="n">
        <v>2024</v>
      </c>
      <c r="B124" t="n">
        <v>4</v>
      </c>
      <c r="C124" t="inlineStr">
        <is>
          <t>F05</t>
        </is>
      </c>
      <c r="D124" t="n">
        <v>40.97</v>
      </c>
      <c r="E124" t="n">
        <v>60016</v>
      </c>
      <c r="F124" t="n">
        <v/>
      </c>
      <c r="G124" t="n">
        <v/>
      </c>
      <c r="H124" t="n">
        <v>0.2416</v>
      </c>
      <c r="I124" t="n">
        <v/>
      </c>
      <c r="J124" t="n">
        <v>45316</v>
      </c>
      <c r="K124" t="n">
        <v>10948.47</v>
      </c>
    </row>
    <row r="125">
      <c r="A125" t="n">
        <v>2024</v>
      </c>
      <c r="B125" t="n">
        <v>5</v>
      </c>
      <c r="C125" t="inlineStr">
        <is>
          <t>F05</t>
        </is>
      </c>
      <c r="D125" t="n">
        <v>176.24</v>
      </c>
      <c r="E125" t="n">
        <v>58884</v>
      </c>
      <c r="F125" t="n">
        <v/>
      </c>
      <c r="G125" t="n">
        <v/>
      </c>
      <c r="H125" t="n">
        <v>0.2507</v>
      </c>
      <c r="I125" t="n">
        <v/>
      </c>
      <c r="J125" t="n">
        <v>51330</v>
      </c>
      <c r="K125" t="n">
        <v>12868.58</v>
      </c>
    </row>
    <row r="126">
      <c r="A126" t="n">
        <v>2024</v>
      </c>
      <c r="B126" t="n">
        <v>6</v>
      </c>
      <c r="C126" t="inlineStr">
        <is>
          <t>F05</t>
        </is>
      </c>
      <c r="D126" t="n">
        <v>43.78</v>
      </c>
      <c r="E126" t="n">
        <v>33600</v>
      </c>
      <c r="F126" t="n">
        <v/>
      </c>
      <c r="G126" t="n">
        <v/>
      </c>
      <c r="H126" t="n">
        <v>0.2722</v>
      </c>
      <c r="I126" t="n">
        <v/>
      </c>
      <c r="J126" t="n">
        <v>42151</v>
      </c>
      <c r="K126" t="n">
        <v>11473.9</v>
      </c>
    </row>
    <row r="127">
      <c r="A127" t="n">
        <v>2024</v>
      </c>
      <c r="B127" t="n">
        <v>7</v>
      </c>
      <c r="C127" t="inlineStr">
        <is>
          <t>F05</t>
        </is>
      </c>
      <c r="D127" t="n">
        <v>102.16</v>
      </c>
      <c r="E127" t="n">
        <v>81250</v>
      </c>
      <c r="F127" t="n">
        <v/>
      </c>
      <c r="G127" t="n">
        <v/>
      </c>
      <c r="H127" t="n">
        <v>0.287</v>
      </c>
      <c r="I127" t="n">
        <v/>
      </c>
      <c r="J127" t="n">
        <v>67581</v>
      </c>
      <c r="K127" t="n">
        <v>19396.73</v>
      </c>
    </row>
    <row r="128">
      <c r="A128" t="n">
        <v>2024</v>
      </c>
      <c r="B128" t="n">
        <v>8</v>
      </c>
      <c r="C128" t="inlineStr">
        <is>
          <t>F05</t>
        </is>
      </c>
      <c r="D128" t="n">
        <v>16.37</v>
      </c>
      <c r="E128" t="n">
        <v>13900</v>
      </c>
      <c r="F128" t="n">
        <v/>
      </c>
      <c r="G128" t="n">
        <v/>
      </c>
      <c r="H128" t="n">
        <v>0.3047</v>
      </c>
      <c r="I128" t="n">
        <v/>
      </c>
      <c r="J128" t="n">
        <v>44796</v>
      </c>
      <c r="K128" t="n">
        <v>13651.04</v>
      </c>
    </row>
    <row r="129">
      <c r="A129" t="n">
        <v>2024</v>
      </c>
      <c r="B129" t="n">
        <v>9</v>
      </c>
      <c r="C129" t="inlineStr">
        <is>
          <t>F05</t>
        </is>
      </c>
      <c r="D129" t="n">
        <v>27.76</v>
      </c>
      <c r="E129" t="n">
        <v>35916</v>
      </c>
      <c r="F129" t="n">
        <v/>
      </c>
      <c r="G129" t="n">
        <v/>
      </c>
      <c r="H129" t="n">
        <v>0.2904</v>
      </c>
      <c r="I129" t="n">
        <v/>
      </c>
      <c r="J129" t="n">
        <v>52599</v>
      </c>
      <c r="K129" t="n">
        <v>15277.15</v>
      </c>
    </row>
    <row r="130">
      <c r="A130" t="n">
        <v>2024</v>
      </c>
      <c r="B130" t="n">
        <v>10</v>
      </c>
      <c r="C130" t="inlineStr">
        <is>
          <t>F05</t>
        </is>
      </c>
      <c r="D130" t="n">
        <v>135.31</v>
      </c>
      <c r="E130" t="n">
        <v>182384</v>
      </c>
      <c r="F130" t="n">
        <v/>
      </c>
      <c r="G130" t="n">
        <v/>
      </c>
      <c r="H130" t="n">
        <v>0.2856</v>
      </c>
      <c r="I130" t="n">
        <v/>
      </c>
      <c r="J130" t="n">
        <v>54362</v>
      </c>
      <c r="K130" t="n">
        <v>15523.99</v>
      </c>
    </row>
    <row r="131">
      <c r="A131" t="n">
        <v>2024</v>
      </c>
      <c r="B131" t="n">
        <v>11</v>
      </c>
      <c r="C131" t="inlineStr">
        <is>
          <t>F05</t>
        </is>
      </c>
      <c r="D131" t="n">
        <v>86.7</v>
      </c>
      <c r="E131" t="n">
        <v>80240</v>
      </c>
      <c r="F131" t="n">
        <v>1109.48</v>
      </c>
      <c r="G131" t="n">
        <v/>
      </c>
      <c r="H131" t="n">
        <v>0.307</v>
      </c>
      <c r="I131" t="n">
        <v>340.61036</v>
      </c>
      <c r="J131" t="n">
        <v>64157</v>
      </c>
      <c r="K131" t="n">
        <v>19751.41</v>
      </c>
    </row>
    <row r="132">
      <c r="A132" t="n">
        <v>2024</v>
      </c>
      <c r="B132" t="n">
        <v>12</v>
      </c>
      <c r="C132" t="inlineStr">
        <is>
          <t>F05</t>
        </is>
      </c>
      <c r="D132" t="n">
        <v>49.9</v>
      </c>
      <c r="E132" t="n">
        <v>62800</v>
      </c>
      <c r="F132" t="n">
        <v>727.9899999999998</v>
      </c>
      <c r="G132" t="n">
        <v/>
      </c>
      <c r="H132" t="n">
        <v>0.331</v>
      </c>
      <c r="I132" t="n">
        <v>240.9646899999999</v>
      </c>
      <c r="J132" t="n">
        <v>51593</v>
      </c>
      <c r="K132" t="n">
        <v>17063.94</v>
      </c>
    </row>
    <row r="133">
      <c r="A133" t="n">
        <v>2025</v>
      </c>
      <c r="B133" t="n">
        <v>1</v>
      </c>
      <c r="C133" t="inlineStr">
        <is>
          <t>F05</t>
        </is>
      </c>
      <c r="D133" t="n">
        <v>50.2</v>
      </c>
      <c r="E133" t="n">
        <v>56800</v>
      </c>
      <c r="F133" t="n">
        <v>966.3699999999999</v>
      </c>
      <c r="G133" t="n">
        <v/>
      </c>
      <c r="H133" t="n">
        <v>0.335</v>
      </c>
      <c r="I133" t="n">
        <v>323.73395</v>
      </c>
      <c r="J133" t="n">
        <v>61904</v>
      </c>
      <c r="K133" t="n">
        <v>20875.39</v>
      </c>
    </row>
    <row r="134">
      <c r="A134" t="n">
        <v>2025</v>
      </c>
      <c r="B134" t="n">
        <v>2</v>
      </c>
      <c r="C134" t="inlineStr">
        <is>
          <t>F05</t>
        </is>
      </c>
      <c r="D134" t="n">
        <v>214.2</v>
      </c>
      <c r="E134" t="n">
        <v>7216</v>
      </c>
      <c r="F134" t="n">
        <v>768.6500000000005</v>
      </c>
      <c r="G134" t="n">
        <v/>
      </c>
      <c r="H134" t="n">
        <v>0.334</v>
      </c>
      <c r="I134" t="n">
        <v>256.7291000000002</v>
      </c>
      <c r="J134" t="n">
        <v>60366</v>
      </c>
      <c r="K134" t="n">
        <v>20173.7</v>
      </c>
    </row>
    <row r="135">
      <c r="A135" t="n">
        <v>2025</v>
      </c>
      <c r="B135" t="n">
        <v>3</v>
      </c>
      <c r="C135" t="inlineStr">
        <is>
          <t>F05</t>
        </is>
      </c>
      <c r="D135" t="n">
        <v>278.1</v>
      </c>
      <c r="E135" t="n">
        <v>66544</v>
      </c>
      <c r="F135" t="n">
        <v>1248.240000000001</v>
      </c>
      <c r="G135" t="n">
        <v/>
      </c>
      <c r="H135" t="n">
        <v>0.286</v>
      </c>
      <c r="I135" t="n">
        <v>356.9966400000002</v>
      </c>
      <c r="J135" t="n">
        <v>58209</v>
      </c>
      <c r="K135" t="n">
        <v>16648.58</v>
      </c>
    </row>
    <row r="136">
      <c r="A136" t="n">
        <v>2025</v>
      </c>
      <c r="B136" t="n">
        <v>4</v>
      </c>
      <c r="C136" t="inlineStr">
        <is>
          <t>F05</t>
        </is>
      </c>
      <c r="D136" t="n">
        <v>43</v>
      </c>
      <c r="E136" t="n">
        <v>44400</v>
      </c>
      <c r="F136" t="n">
        <v>1022.11</v>
      </c>
      <c r="G136" t="n">
        <v/>
      </c>
      <c r="H136" t="n">
        <v>0.2655</v>
      </c>
      <c r="I136" t="n">
        <v>271.370205</v>
      </c>
      <c r="J136" t="n">
        <v>41269</v>
      </c>
      <c r="K136" t="n">
        <v>10956.7</v>
      </c>
    </row>
    <row r="137">
      <c r="A137" t="n">
        <v>2025</v>
      </c>
      <c r="B137" t="n">
        <v>5</v>
      </c>
      <c r="C137" t="inlineStr">
        <is>
          <t>F05</t>
        </is>
      </c>
      <c r="D137" t="n">
        <v>66</v>
      </c>
      <c r="E137" t="n">
        <v>45988</v>
      </c>
      <c r="F137" t="n">
        <v>1035.31</v>
      </c>
      <c r="G137" t="n">
        <v/>
      </c>
      <c r="H137" t="n">
        <v>0.2575</v>
      </c>
      <c r="I137" t="n">
        <v>266.592325</v>
      </c>
      <c r="J137" t="n">
        <v>30809</v>
      </c>
      <c r="K137" t="n">
        <v>7932.95</v>
      </c>
    </row>
    <row r="138">
      <c r="A138" t="n">
        <v>2025</v>
      </c>
      <c r="B138" t="n">
        <v>6</v>
      </c>
      <c r="C138" t="inlineStr">
        <is>
          <t>F05</t>
        </is>
      </c>
      <c r="D138" t="n">
        <v>30.6</v>
      </c>
      <c r="E138" t="n">
        <v>25456</v>
      </c>
      <c r="F138" t="n">
        <v>658.1899999999987</v>
      </c>
      <c r="G138" t="n">
        <v/>
      </c>
      <c r="H138" t="n">
        <v>0.355</v>
      </c>
      <c r="I138" t="n">
        <v>233.6574499999995</v>
      </c>
      <c r="J138" t="n">
        <v>33644</v>
      </c>
      <c r="K138" t="n">
        <v>11949.42</v>
      </c>
    </row>
    <row r="139">
      <c r="A139" t="n">
        <v>2025</v>
      </c>
      <c r="B139" t="n">
        <v>7</v>
      </c>
      <c r="C139" t="inlineStr">
        <is>
          <t>F05</t>
        </is>
      </c>
      <c r="D139" t="n">
        <v>72.5</v>
      </c>
      <c r="E139" t="n">
        <v>85935</v>
      </c>
      <c r="F139" t="n">
        <v>1172.1</v>
      </c>
      <c r="G139" t="n">
        <v/>
      </c>
      <c r="H139" t="n">
        <v>0.296</v>
      </c>
      <c r="I139" t="n">
        <v>346.9415999999999</v>
      </c>
      <c r="J139" t="n">
        <v>51483</v>
      </c>
      <c r="K139" t="n">
        <v>15262.33</v>
      </c>
    </row>
    <row r="140">
      <c r="A140" t="n">
        <v>2025</v>
      </c>
      <c r="B140" t="n">
        <v>8</v>
      </c>
      <c r="C140" t="inlineStr">
        <is>
          <t>F05</t>
        </is>
      </c>
      <c r="D140" t="n">
        <v>20.61</v>
      </c>
      <c r="E140" t="n">
        <v>18480</v>
      </c>
      <c r="F140" t="n">
        <v>211.5799999999999</v>
      </c>
      <c r="G140" t="n">
        <v/>
      </c>
      <c r="H140" t="n">
        <v>0.3268</v>
      </c>
      <c r="I140" t="n">
        <v>69.14434399999996</v>
      </c>
      <c r="J140" t="n">
        <v>17650</v>
      </c>
      <c r="K140" t="n">
        <v>5768.63</v>
      </c>
    </row>
    <row r="141">
      <c r="A141" t="n">
        <v>2025</v>
      </c>
      <c r="B141" t="n">
        <v>9</v>
      </c>
      <c r="C141" t="inlineStr">
        <is>
          <t>F05</t>
        </is>
      </c>
      <c r="D141" t="n">
        <v>30.81</v>
      </c>
      <c r="E141" t="n">
        <v>33648</v>
      </c>
      <c r="F141" t="n">
        <v>1024.98</v>
      </c>
      <c r="G141" t="n">
        <v/>
      </c>
      <c r="H141" t="n">
        <v>0.2732</v>
      </c>
      <c r="I141" t="n">
        <v>280.024536</v>
      </c>
      <c r="J141" t="n">
        <v>47214</v>
      </c>
      <c r="K141" t="n">
        <v>12897.86</v>
      </c>
    </row>
    <row r="142">
      <c r="A142" t="n">
        <v>2025</v>
      </c>
      <c r="B142" t="n">
        <v>10</v>
      </c>
      <c r="C142" t="inlineStr">
        <is>
          <t>F05</t>
        </is>
      </c>
      <c r="D142" t="n">
        <v>0</v>
      </c>
      <c r="E142" t="n">
        <v>0</v>
      </c>
      <c r="F142" t="n">
        <v>445.9500000000007</v>
      </c>
      <c r="G142" t="n">
        <v/>
      </c>
      <c r="H142" t="n">
        <v>0.2134</v>
      </c>
      <c r="I142" t="n">
        <v>95.16573000000015</v>
      </c>
      <c r="J142" t="n">
        <v>47533</v>
      </c>
      <c r="K142" t="n">
        <v>13101.09</v>
      </c>
    </row>
    <row r="143">
      <c r="A143" t="n">
        <v>2025</v>
      </c>
      <c r="B143" t="n">
        <v>11</v>
      </c>
      <c r="C143" t="inlineStr">
        <is>
          <t>F05</t>
        </is>
      </c>
      <c r="D143" t="n">
        <v/>
      </c>
      <c r="E143" t="n">
        <v/>
      </c>
      <c r="F143" t="n">
        <v/>
      </c>
      <c r="G143" t="n">
        <v/>
      </c>
      <c r="H143" t="n">
        <v>0</v>
      </c>
      <c r="I143" t="n">
        <v/>
      </c>
      <c r="J143" t="n">
        <v>0</v>
      </c>
      <c r="K143" t="n">
        <v>0</v>
      </c>
    </row>
    <row r="144">
      <c r="A144" t="n">
        <v>2025</v>
      </c>
      <c r="B144" t="n">
        <v>12</v>
      </c>
      <c r="C144" t="inlineStr">
        <is>
          <t>F05</t>
        </is>
      </c>
      <c r="D144" t="n">
        <v/>
      </c>
      <c r="E144" t="n">
        <v/>
      </c>
      <c r="F144" t="n">
        <v/>
      </c>
      <c r="G144" t="n">
        <v/>
      </c>
      <c r="H144" t="n">
        <v>0</v>
      </c>
      <c r="I144" t="n">
        <v/>
      </c>
      <c r="J144" t="n">
        <v>0</v>
      </c>
      <c r="K144" t="n">
        <v>0</v>
      </c>
    </row>
    <row r="145">
      <c r="A145" t="n">
        <v>2024</v>
      </c>
      <c r="B145" t="n">
        <v>1</v>
      </c>
      <c r="C145" t="inlineStr">
        <is>
          <t>F06</t>
        </is>
      </c>
      <c r="D145" t="n">
        <v>117.3</v>
      </c>
      <c r="E145" t="n">
        <v>54560</v>
      </c>
      <c r="F145" t="n">
        <v/>
      </c>
      <c r="G145" t="n">
        <v/>
      </c>
      <c r="H145" t="n">
        <v>0.2557</v>
      </c>
      <c r="I145" t="n">
        <v/>
      </c>
      <c r="J145" t="n">
        <v>64934</v>
      </c>
      <c r="K145" t="n">
        <v>16601.39</v>
      </c>
    </row>
    <row r="146">
      <c r="A146" t="n">
        <v>2024</v>
      </c>
      <c r="B146" t="n">
        <v>2</v>
      </c>
      <c r="C146" t="inlineStr">
        <is>
          <t>F06</t>
        </is>
      </c>
      <c r="D146" t="n">
        <v>187.55</v>
      </c>
      <c r="E146" t="n">
        <v>82968</v>
      </c>
      <c r="F146" t="n">
        <v/>
      </c>
      <c r="G146" t="n">
        <v/>
      </c>
      <c r="H146" t="n">
        <v>0.2378</v>
      </c>
      <c r="I146" t="n">
        <v/>
      </c>
      <c r="J146" t="n">
        <v>71197</v>
      </c>
      <c r="K146" t="n">
        <v>16934</v>
      </c>
    </row>
    <row r="147">
      <c r="A147" t="n">
        <v>2024</v>
      </c>
      <c r="B147" t="n">
        <v>3</v>
      </c>
      <c r="C147" t="inlineStr">
        <is>
          <t>F06</t>
        </is>
      </c>
      <c r="D147" t="n">
        <v>3.82</v>
      </c>
      <c r="E147" t="n">
        <v>1872</v>
      </c>
      <c r="F147" t="n">
        <v/>
      </c>
      <c r="G147" t="n">
        <v/>
      </c>
      <c r="H147" t="n">
        <v>0.2428</v>
      </c>
      <c r="I147" t="n">
        <v/>
      </c>
      <c r="J147" t="n">
        <v>51152</v>
      </c>
      <c r="K147" t="n">
        <v>12419.74</v>
      </c>
    </row>
    <row r="148">
      <c r="A148" t="n">
        <v>2024</v>
      </c>
      <c r="B148" t="n">
        <v>4</v>
      </c>
      <c r="C148" t="inlineStr">
        <is>
          <t>F06</t>
        </is>
      </c>
      <c r="D148" t="n">
        <v>41.12</v>
      </c>
      <c r="E148" t="n">
        <v>3948</v>
      </c>
      <c r="F148" t="n">
        <v/>
      </c>
      <c r="G148" t="n">
        <v/>
      </c>
      <c r="H148" t="n">
        <v>0.2416</v>
      </c>
      <c r="I148" t="n">
        <v/>
      </c>
      <c r="J148" t="n">
        <v>45316</v>
      </c>
      <c r="K148" t="n">
        <v>10948.47</v>
      </c>
    </row>
    <row r="149">
      <c r="A149" t="n">
        <v>2024</v>
      </c>
      <c r="B149" t="n">
        <v>5</v>
      </c>
      <c r="C149" t="inlineStr">
        <is>
          <t>F06</t>
        </is>
      </c>
      <c r="D149" t="n">
        <v>243.62</v>
      </c>
      <c r="E149" t="n">
        <v>23364</v>
      </c>
      <c r="F149" t="n">
        <v/>
      </c>
      <c r="G149" t="n">
        <v/>
      </c>
      <c r="H149" t="n">
        <v>0.2507</v>
      </c>
      <c r="I149" t="n">
        <v/>
      </c>
      <c r="J149" t="n">
        <v>51330</v>
      </c>
      <c r="K149" t="n">
        <v>12868.58</v>
      </c>
    </row>
    <row r="150">
      <c r="A150" t="n">
        <v>2024</v>
      </c>
      <c r="B150" t="n">
        <v>6</v>
      </c>
      <c r="C150" t="inlineStr">
        <is>
          <t>F06</t>
        </is>
      </c>
      <c r="D150" t="n">
        <v>22.67</v>
      </c>
      <c r="E150" t="n">
        <v>8150</v>
      </c>
      <c r="F150" t="n">
        <v/>
      </c>
      <c r="G150" t="n">
        <v/>
      </c>
      <c r="H150" t="n">
        <v>0.2722</v>
      </c>
      <c r="I150" t="n">
        <v/>
      </c>
      <c r="J150" t="n">
        <v>42151</v>
      </c>
      <c r="K150" t="n">
        <v>11473.9</v>
      </c>
    </row>
    <row r="151">
      <c r="A151" t="n">
        <v>2024</v>
      </c>
      <c r="B151" t="n">
        <v>7</v>
      </c>
      <c r="C151" t="inlineStr">
        <is>
          <t>F06</t>
        </is>
      </c>
      <c r="D151" t="n">
        <v>198.35</v>
      </c>
      <c r="E151" t="n">
        <v>47590</v>
      </c>
      <c r="F151" t="n">
        <v/>
      </c>
      <c r="G151" t="n">
        <v/>
      </c>
      <c r="H151" t="n">
        <v>0.287</v>
      </c>
      <c r="I151" t="n">
        <v/>
      </c>
      <c r="J151" t="n">
        <v>67581</v>
      </c>
      <c r="K151" t="n">
        <v>19396.73</v>
      </c>
    </row>
    <row r="152">
      <c r="A152" t="n">
        <v>2024</v>
      </c>
      <c r="B152" t="n">
        <v>8</v>
      </c>
      <c r="C152" t="inlineStr">
        <is>
          <t>F06</t>
        </is>
      </c>
      <c r="D152" t="n">
        <v>35.06</v>
      </c>
      <c r="E152" t="n">
        <v>17544</v>
      </c>
      <c r="F152" t="n">
        <v/>
      </c>
      <c r="G152" t="n">
        <v/>
      </c>
      <c r="H152" t="n">
        <v>0.3047</v>
      </c>
      <c r="I152" t="n">
        <v/>
      </c>
      <c r="J152" t="n">
        <v>44796</v>
      </c>
      <c r="K152" t="n">
        <v>13651.04</v>
      </c>
    </row>
    <row r="153">
      <c r="A153" t="n">
        <v>2024</v>
      </c>
      <c r="B153" t="n">
        <v>9</v>
      </c>
      <c r="C153" t="inlineStr">
        <is>
          <t>F06</t>
        </is>
      </c>
      <c r="D153" t="n">
        <v>66.39</v>
      </c>
      <c r="E153" t="n">
        <v>29790</v>
      </c>
      <c r="F153" t="n">
        <v/>
      </c>
      <c r="G153" t="n">
        <v/>
      </c>
      <c r="H153" t="n">
        <v>0.2904</v>
      </c>
      <c r="I153" t="n">
        <v/>
      </c>
      <c r="J153" t="n">
        <v>52599</v>
      </c>
      <c r="K153" t="n">
        <v>15277.15</v>
      </c>
    </row>
    <row r="154">
      <c r="A154" t="n">
        <v>2024</v>
      </c>
      <c r="B154" t="n">
        <v>10</v>
      </c>
      <c r="C154" t="inlineStr">
        <is>
          <t>F06</t>
        </is>
      </c>
      <c r="D154" t="n">
        <v>0</v>
      </c>
      <c r="E154" t="n">
        <v>0</v>
      </c>
      <c r="F154" t="n">
        <v/>
      </c>
      <c r="G154" t="n">
        <v/>
      </c>
      <c r="H154" t="n">
        <v>0.2856</v>
      </c>
      <c r="I154" t="n">
        <v/>
      </c>
      <c r="J154" t="n">
        <v>54362</v>
      </c>
      <c r="K154" t="n">
        <v>15523.99</v>
      </c>
    </row>
    <row r="155">
      <c r="A155" t="n">
        <v>2024</v>
      </c>
      <c r="B155" t="n">
        <v>11</v>
      </c>
      <c r="C155" t="inlineStr">
        <is>
          <t>F06</t>
        </is>
      </c>
      <c r="D155" t="n">
        <v>145.9</v>
      </c>
      <c r="E155" t="n">
        <v>67158</v>
      </c>
      <c r="F155" t="n">
        <v>1373.24</v>
      </c>
      <c r="G155" t="n">
        <v/>
      </c>
      <c r="H155" t="n">
        <v>0.307</v>
      </c>
      <c r="I155" t="n">
        <v>421.58468</v>
      </c>
      <c r="J155" t="n">
        <v>64157</v>
      </c>
      <c r="K155" t="n">
        <v>19751.41</v>
      </c>
    </row>
    <row r="156">
      <c r="A156" t="n">
        <v>2024</v>
      </c>
      <c r="B156" t="n">
        <v>12</v>
      </c>
      <c r="C156" t="inlineStr">
        <is>
          <t>F06</t>
        </is>
      </c>
      <c r="D156" t="n">
        <v>61</v>
      </c>
      <c r="E156" t="n">
        <v>26980</v>
      </c>
      <c r="F156" t="n">
        <v>597.1499999999999</v>
      </c>
      <c r="G156" t="n">
        <v/>
      </c>
      <c r="H156" t="n">
        <v>0.331</v>
      </c>
      <c r="I156" t="n">
        <v>197.65665</v>
      </c>
      <c r="J156" t="n">
        <v>51593</v>
      </c>
      <c r="K156" t="n">
        <v>17063.94</v>
      </c>
    </row>
    <row r="157">
      <c r="A157" t="n">
        <v>2025</v>
      </c>
      <c r="B157" t="n">
        <v>1</v>
      </c>
      <c r="C157" t="inlineStr">
        <is>
          <t>F06</t>
        </is>
      </c>
      <c r="D157" t="n">
        <v>96</v>
      </c>
      <c r="E157" t="n">
        <v>41000</v>
      </c>
      <c r="F157" t="n">
        <v>824.6600000000003</v>
      </c>
      <c r="G157" t="n">
        <v/>
      </c>
      <c r="H157" t="n">
        <v>0.335</v>
      </c>
      <c r="I157" t="n">
        <v>276.2611000000001</v>
      </c>
      <c r="J157" t="n">
        <v>61904</v>
      </c>
      <c r="K157" t="n">
        <v>20875.39</v>
      </c>
    </row>
    <row r="158">
      <c r="A158" t="n">
        <v>2025</v>
      </c>
      <c r="B158" t="n">
        <v>2</v>
      </c>
      <c r="C158" t="inlineStr">
        <is>
          <t>F06</t>
        </is>
      </c>
      <c r="D158" t="n">
        <v>66.90000000000001</v>
      </c>
      <c r="E158" t="n">
        <v>21616</v>
      </c>
      <c r="F158" t="n">
        <v>747.6799999999998</v>
      </c>
      <c r="G158" t="n">
        <v/>
      </c>
      <c r="H158" t="n">
        <v>0.334</v>
      </c>
      <c r="I158" t="n">
        <v>249.7251199999999</v>
      </c>
      <c r="J158" t="n">
        <v>60366</v>
      </c>
      <c r="K158" t="n">
        <v>20173.7</v>
      </c>
    </row>
    <row r="159">
      <c r="A159" t="n">
        <v>2025</v>
      </c>
      <c r="B159" t="n">
        <v>3</v>
      </c>
      <c r="C159" t="inlineStr">
        <is>
          <t>F06</t>
        </is>
      </c>
      <c r="D159" t="n">
        <v>202.5</v>
      </c>
      <c r="E159" t="n">
        <v>40006</v>
      </c>
      <c r="F159" t="n">
        <v>1177.48</v>
      </c>
      <c r="G159" t="n">
        <v/>
      </c>
      <c r="H159" t="n">
        <v>0.286</v>
      </c>
      <c r="I159" t="n">
        <v>336.75928</v>
      </c>
      <c r="J159" t="n">
        <v>58209</v>
      </c>
      <c r="K159" t="n">
        <v>16648.58</v>
      </c>
    </row>
    <row r="160">
      <c r="A160" t="n">
        <v>2025</v>
      </c>
      <c r="B160" t="n">
        <v>4</v>
      </c>
      <c r="C160" t="inlineStr">
        <is>
          <t>F06</t>
        </is>
      </c>
      <c r="D160" t="n">
        <v>124.6</v>
      </c>
      <c r="E160" t="n">
        <v>22826</v>
      </c>
      <c r="F160" t="n">
        <v>728.7800000000007</v>
      </c>
      <c r="G160" t="n">
        <v/>
      </c>
      <c r="H160" t="n">
        <v>0.2655</v>
      </c>
      <c r="I160" t="n">
        <v>193.4910900000002</v>
      </c>
      <c r="J160" t="n">
        <v>41269</v>
      </c>
      <c r="K160" t="n">
        <v>10956.7</v>
      </c>
    </row>
    <row r="161">
      <c r="A161" t="n">
        <v>2025</v>
      </c>
      <c r="B161" t="n">
        <v>5</v>
      </c>
      <c r="C161" t="inlineStr">
        <is>
          <t>F06</t>
        </is>
      </c>
      <c r="D161" t="n">
        <v>116.7</v>
      </c>
      <c r="E161" t="n">
        <v>44200</v>
      </c>
      <c r="F161" t="n">
        <v>1032.12</v>
      </c>
      <c r="G161" t="n">
        <v/>
      </c>
      <c r="H161" t="n">
        <v>0.2575</v>
      </c>
      <c r="I161" t="n">
        <v>265.7709</v>
      </c>
      <c r="J161" t="n">
        <v>30809</v>
      </c>
      <c r="K161" t="n">
        <v>7932.95</v>
      </c>
    </row>
    <row r="162">
      <c r="A162" t="n">
        <v>2025</v>
      </c>
      <c r="B162" t="n">
        <v>6</v>
      </c>
      <c r="C162" t="inlineStr">
        <is>
          <t>F06</t>
        </is>
      </c>
      <c r="D162" t="n">
        <v>51.6</v>
      </c>
      <c r="E162" t="n">
        <v>33550</v>
      </c>
      <c r="F162" t="n">
        <v>551.6099999999997</v>
      </c>
      <c r="G162" t="n">
        <v/>
      </c>
      <c r="H162" t="n">
        <v>0.355</v>
      </c>
      <c r="I162" t="n">
        <v>195.8215499999999</v>
      </c>
      <c r="J162" t="n">
        <v>33644</v>
      </c>
      <c r="K162" t="n">
        <v>11949.42</v>
      </c>
    </row>
    <row r="163">
      <c r="A163" t="n">
        <v>2025</v>
      </c>
      <c r="B163" t="n">
        <v>7</v>
      </c>
      <c r="C163" t="inlineStr">
        <is>
          <t>F06</t>
        </is>
      </c>
      <c r="D163" t="n">
        <v>32.6</v>
      </c>
      <c r="E163" t="n">
        <v>41334</v>
      </c>
      <c r="F163" t="n">
        <v>446.96</v>
      </c>
      <c r="G163" t="n">
        <v/>
      </c>
      <c r="H163" t="n">
        <v>0.296</v>
      </c>
      <c r="I163" t="n">
        <v>132.30016</v>
      </c>
      <c r="J163" t="n">
        <v>51483</v>
      </c>
      <c r="K163" t="n">
        <v>15262.33</v>
      </c>
    </row>
    <row r="164">
      <c r="A164" t="n">
        <v>2025</v>
      </c>
      <c r="B164" t="n">
        <v>8</v>
      </c>
      <c r="C164" t="inlineStr">
        <is>
          <t>F06</t>
        </is>
      </c>
      <c r="D164" t="n">
        <v>2.08</v>
      </c>
      <c r="E164" t="n">
        <v>200</v>
      </c>
      <c r="F164" t="n">
        <v>113.3600000000006</v>
      </c>
      <c r="G164" t="n">
        <v/>
      </c>
      <c r="H164" t="n">
        <v>0.3268</v>
      </c>
      <c r="I164" t="n">
        <v>37.04604800000019</v>
      </c>
      <c r="J164" t="n">
        <v>17650</v>
      </c>
      <c r="K164" t="n">
        <v>5768.63</v>
      </c>
    </row>
    <row r="165">
      <c r="A165" t="n">
        <v>2025</v>
      </c>
      <c r="B165" t="n">
        <v>9</v>
      </c>
      <c r="C165" t="inlineStr">
        <is>
          <t>F06</t>
        </is>
      </c>
      <c r="D165" t="n">
        <v>78.23999999999999</v>
      </c>
      <c r="E165" t="n">
        <v>52692</v>
      </c>
      <c r="F165" t="n">
        <v>672.8500000000004</v>
      </c>
      <c r="G165" t="n">
        <v/>
      </c>
      <c r="H165" t="n">
        <v>0.2732</v>
      </c>
      <c r="I165" t="n">
        <v>183.8226200000001</v>
      </c>
      <c r="J165" t="n">
        <v>47214</v>
      </c>
      <c r="K165" t="n">
        <v>12897.86</v>
      </c>
    </row>
    <row r="166">
      <c r="A166" t="n">
        <v>2025</v>
      </c>
      <c r="B166" t="n">
        <v>10</v>
      </c>
      <c r="C166" t="inlineStr">
        <is>
          <t>F06</t>
        </is>
      </c>
      <c r="D166" t="n">
        <v>60.92</v>
      </c>
      <c r="E166" t="n">
        <v>29500</v>
      </c>
      <c r="F166" t="n">
        <v>897.5299999999988</v>
      </c>
      <c r="G166" t="n">
        <v/>
      </c>
      <c r="H166" t="n">
        <v>0.2134</v>
      </c>
      <c r="I166" t="n">
        <v>191.5329019999998</v>
      </c>
      <c r="J166" t="n">
        <v>47533</v>
      </c>
      <c r="K166" t="n">
        <v>13101.09</v>
      </c>
    </row>
    <row r="167">
      <c r="A167" t="n">
        <v>2025</v>
      </c>
      <c r="B167" t="n">
        <v>11</v>
      </c>
      <c r="C167" t="inlineStr">
        <is>
          <t>F06</t>
        </is>
      </c>
      <c r="D167" t="n">
        <v/>
      </c>
      <c r="E167" t="n">
        <v/>
      </c>
      <c r="F167" t="n">
        <v/>
      </c>
      <c r="G167" t="n">
        <v/>
      </c>
      <c r="H167" t="n">
        <v>0</v>
      </c>
      <c r="I167" t="n">
        <v/>
      </c>
      <c r="J167" t="n">
        <v>0</v>
      </c>
      <c r="K167" t="n">
        <v>0</v>
      </c>
    </row>
    <row r="168">
      <c r="A168" t="n">
        <v>2025</v>
      </c>
      <c r="B168" t="n">
        <v>12</v>
      </c>
      <c r="C168" t="inlineStr">
        <is>
          <t>F06</t>
        </is>
      </c>
      <c r="D168" t="n">
        <v/>
      </c>
      <c r="E168" t="n">
        <v/>
      </c>
      <c r="F168" t="n">
        <v/>
      </c>
      <c r="G168" t="n">
        <v/>
      </c>
      <c r="H168" t="n">
        <v>0</v>
      </c>
      <c r="I168" t="n">
        <v/>
      </c>
      <c r="J168" t="n">
        <v>0</v>
      </c>
      <c r="K168" t="n">
        <v>0</v>
      </c>
    </row>
    <row r="169">
      <c r="A169" t="n">
        <v>2024</v>
      </c>
      <c r="B169" t="n">
        <v>1</v>
      </c>
      <c r="C169" t="inlineStr">
        <is>
          <t>F07</t>
        </is>
      </c>
      <c r="D169" t="n">
        <v>129.86</v>
      </c>
      <c r="E169" t="n">
        <v>145474</v>
      </c>
      <c r="F169" t="n">
        <v/>
      </c>
      <c r="G169" t="n">
        <v/>
      </c>
      <c r="H169" t="n">
        <v>0.2557</v>
      </c>
      <c r="I169" t="n">
        <v/>
      </c>
      <c r="J169" t="n">
        <v>64934</v>
      </c>
      <c r="K169" t="n">
        <v>16601.39</v>
      </c>
    </row>
    <row r="170">
      <c r="A170" t="n">
        <v>2024</v>
      </c>
      <c r="B170" t="n">
        <v>2</v>
      </c>
      <c r="C170" t="inlineStr">
        <is>
          <t>F07</t>
        </is>
      </c>
      <c r="D170" t="n">
        <v>52.81</v>
      </c>
      <c r="E170" t="n">
        <v>53208</v>
      </c>
      <c r="F170" t="n">
        <v/>
      </c>
      <c r="G170" t="n">
        <v/>
      </c>
      <c r="H170" t="n">
        <v>0.2378</v>
      </c>
      <c r="I170" t="n">
        <v/>
      </c>
      <c r="J170" t="n">
        <v>71197</v>
      </c>
      <c r="K170" t="n">
        <v>16934</v>
      </c>
    </row>
    <row r="171">
      <c r="A171" t="n">
        <v>2024</v>
      </c>
      <c r="B171" t="n">
        <v>3</v>
      </c>
      <c r="C171" t="inlineStr">
        <is>
          <t>F07</t>
        </is>
      </c>
      <c r="D171" t="n">
        <v>172.01</v>
      </c>
      <c r="E171" t="n">
        <v>61792</v>
      </c>
      <c r="F171" t="n">
        <v/>
      </c>
      <c r="G171" t="n">
        <v/>
      </c>
      <c r="H171" t="n">
        <v>0.2428</v>
      </c>
      <c r="I171" t="n">
        <v/>
      </c>
      <c r="J171" t="n">
        <v>51152</v>
      </c>
      <c r="K171" t="n">
        <v>12419.74</v>
      </c>
    </row>
    <row r="172">
      <c r="A172" t="n">
        <v>2024</v>
      </c>
      <c r="B172" t="n">
        <v>4</v>
      </c>
      <c r="C172" t="inlineStr">
        <is>
          <t>F07</t>
        </is>
      </c>
      <c r="D172" t="n">
        <v>9.83</v>
      </c>
      <c r="E172" t="n">
        <v>5000</v>
      </c>
      <c r="F172" t="n">
        <v/>
      </c>
      <c r="G172" t="n">
        <v/>
      </c>
      <c r="H172" t="n">
        <v>0.2416</v>
      </c>
      <c r="I172" t="n">
        <v/>
      </c>
      <c r="J172" t="n">
        <v>45316</v>
      </c>
      <c r="K172" t="n">
        <v>10948.47</v>
      </c>
    </row>
    <row r="173">
      <c r="A173" t="n">
        <v>2024</v>
      </c>
      <c r="B173" t="n">
        <v>5</v>
      </c>
      <c r="C173" t="inlineStr">
        <is>
          <t>F07</t>
        </is>
      </c>
      <c r="D173" t="n">
        <v>37.41</v>
      </c>
      <c r="E173" t="n">
        <v>17596</v>
      </c>
      <c r="F173" t="n">
        <v/>
      </c>
      <c r="G173" t="n">
        <v/>
      </c>
      <c r="H173" t="n">
        <v>0.2507</v>
      </c>
      <c r="I173" t="n">
        <v/>
      </c>
      <c r="J173" t="n">
        <v>51330</v>
      </c>
      <c r="K173" t="n">
        <v>12868.58</v>
      </c>
    </row>
    <row r="174">
      <c r="A174" t="n">
        <v>2024</v>
      </c>
      <c r="B174" t="n">
        <v>6</v>
      </c>
      <c r="C174" t="inlineStr">
        <is>
          <t>F07</t>
        </is>
      </c>
      <c r="D174" t="n">
        <v>34.11</v>
      </c>
      <c r="E174" t="n">
        <v>6200</v>
      </c>
      <c r="F174" t="n">
        <v/>
      </c>
      <c r="G174" t="n">
        <v/>
      </c>
      <c r="H174" t="n">
        <v>0.2722</v>
      </c>
      <c r="I174" t="n">
        <v/>
      </c>
      <c r="J174" t="n">
        <v>42151</v>
      </c>
      <c r="K174" t="n">
        <v>11473.9</v>
      </c>
    </row>
    <row r="175">
      <c r="A175" t="n">
        <v>2024</v>
      </c>
      <c r="B175" t="n">
        <v>7</v>
      </c>
      <c r="C175" t="inlineStr">
        <is>
          <t>F07</t>
        </is>
      </c>
      <c r="D175" t="n">
        <v>20.08</v>
      </c>
      <c r="E175" t="n">
        <v>9210</v>
      </c>
      <c r="F175" t="n">
        <v/>
      </c>
      <c r="G175" t="n">
        <v/>
      </c>
      <c r="H175" t="n">
        <v>0.287</v>
      </c>
      <c r="I175" t="n">
        <v/>
      </c>
      <c r="J175" t="n">
        <v>67581</v>
      </c>
      <c r="K175" t="n">
        <v>19396.73</v>
      </c>
    </row>
    <row r="176">
      <c r="A176" t="n">
        <v>2024</v>
      </c>
      <c r="B176" t="n">
        <v>8</v>
      </c>
      <c r="C176" t="inlineStr">
        <is>
          <t>F07</t>
        </is>
      </c>
      <c r="D176" t="n">
        <v>84.86</v>
      </c>
      <c r="E176" t="n">
        <v>38850</v>
      </c>
      <c r="F176" t="n">
        <v/>
      </c>
      <c r="G176" t="n">
        <v/>
      </c>
      <c r="H176" t="n">
        <v>0.3047</v>
      </c>
      <c r="I176" t="n">
        <v/>
      </c>
      <c r="J176" t="n">
        <v>44796</v>
      </c>
      <c r="K176" t="n">
        <v>13651.04</v>
      </c>
    </row>
    <row r="177">
      <c r="A177" t="n">
        <v>2024</v>
      </c>
      <c r="B177" t="n">
        <v>9</v>
      </c>
      <c r="C177" t="inlineStr">
        <is>
          <t>F07</t>
        </is>
      </c>
      <c r="D177" t="n">
        <v>52.05</v>
      </c>
      <c r="E177" t="n">
        <v>22439</v>
      </c>
      <c r="F177" t="n">
        <v/>
      </c>
      <c r="G177" t="n">
        <v/>
      </c>
      <c r="H177" t="n">
        <v>0.2904</v>
      </c>
      <c r="I177" t="n">
        <v/>
      </c>
      <c r="J177" t="n">
        <v>52599</v>
      </c>
      <c r="K177" t="n">
        <v>15277.15</v>
      </c>
    </row>
    <row r="178">
      <c r="A178" t="n">
        <v>2024</v>
      </c>
      <c r="B178" t="n">
        <v>10</v>
      </c>
      <c r="C178" t="inlineStr">
        <is>
          <t>F07</t>
        </is>
      </c>
      <c r="D178" t="n">
        <v>51.1</v>
      </c>
      <c r="E178" t="n">
        <v>22392</v>
      </c>
      <c r="F178" t="n">
        <v/>
      </c>
      <c r="G178" t="n">
        <v/>
      </c>
      <c r="H178" t="n">
        <v>0.2856</v>
      </c>
      <c r="I178" t="n">
        <v/>
      </c>
      <c r="J178" t="n">
        <v>54362</v>
      </c>
      <c r="K178" t="n">
        <v>15523.99</v>
      </c>
    </row>
    <row r="179">
      <c r="A179" t="n">
        <v>2024</v>
      </c>
      <c r="B179" t="n">
        <v>11</v>
      </c>
      <c r="C179" t="inlineStr">
        <is>
          <t>F07</t>
        </is>
      </c>
      <c r="D179" t="n">
        <v>175.2</v>
      </c>
      <c r="E179" t="n">
        <v>86620</v>
      </c>
      <c r="F179" t="n">
        <v>1496.8</v>
      </c>
      <c r="G179" t="n">
        <v/>
      </c>
      <c r="H179" t="n">
        <v>0.307</v>
      </c>
      <c r="I179" t="n">
        <v>459.5176</v>
      </c>
      <c r="J179" t="n">
        <v>64157</v>
      </c>
      <c r="K179" t="n">
        <v>19751.41</v>
      </c>
    </row>
    <row r="180">
      <c r="A180" t="n">
        <v>2024</v>
      </c>
      <c r="B180" t="n">
        <v>12</v>
      </c>
      <c r="C180" t="inlineStr">
        <is>
          <t>F07</t>
        </is>
      </c>
      <c r="D180" t="n">
        <v>103.7</v>
      </c>
      <c r="E180" t="n">
        <v>60888</v>
      </c>
      <c r="F180" t="n">
        <v>1222.84</v>
      </c>
      <c r="G180" t="n">
        <v/>
      </c>
      <c r="H180" t="n">
        <v>0.331</v>
      </c>
      <c r="I180" t="n">
        <v>404.76004</v>
      </c>
      <c r="J180" t="n">
        <v>51593</v>
      </c>
      <c r="K180" t="n">
        <v>17063.94</v>
      </c>
    </row>
    <row r="181">
      <c r="A181" t="n">
        <v>2025</v>
      </c>
      <c r="B181" t="n">
        <v>1</v>
      </c>
      <c r="C181" t="inlineStr">
        <is>
          <t>F07</t>
        </is>
      </c>
      <c r="D181" t="n">
        <v>130.7</v>
      </c>
      <c r="E181" t="n">
        <v>35268</v>
      </c>
      <c r="F181" t="n">
        <v>828.5600000000004</v>
      </c>
      <c r="G181" t="n">
        <v/>
      </c>
      <c r="H181" t="n">
        <v>0.335</v>
      </c>
      <c r="I181" t="n">
        <v>277.5676000000001</v>
      </c>
      <c r="J181" t="n">
        <v>61904</v>
      </c>
      <c r="K181" t="n">
        <v>20875.39</v>
      </c>
    </row>
    <row r="182">
      <c r="A182" t="n">
        <v>2025</v>
      </c>
      <c r="B182" t="n">
        <v>2</v>
      </c>
      <c r="C182" t="inlineStr">
        <is>
          <t>F07</t>
        </is>
      </c>
      <c r="D182" t="n">
        <v>39.5</v>
      </c>
      <c r="E182" t="n">
        <v>10207</v>
      </c>
      <c r="F182" t="n">
        <v>644.7200000000003</v>
      </c>
      <c r="G182" t="n">
        <v/>
      </c>
      <c r="H182" t="n">
        <v>0.334</v>
      </c>
      <c r="I182" t="n">
        <v>215.3364800000001</v>
      </c>
      <c r="J182" t="n">
        <v>60366</v>
      </c>
      <c r="K182" t="n">
        <v>20173.7</v>
      </c>
    </row>
    <row r="183">
      <c r="A183" t="n">
        <v>2025</v>
      </c>
      <c r="B183" t="n">
        <v>3</v>
      </c>
      <c r="C183" t="inlineStr">
        <is>
          <t>F07</t>
        </is>
      </c>
      <c r="D183" t="n">
        <v>74.3</v>
      </c>
      <c r="E183" t="n">
        <v>36000</v>
      </c>
      <c r="F183" t="n">
        <v>1169.04</v>
      </c>
      <c r="G183" t="n">
        <v/>
      </c>
      <c r="H183" t="n">
        <v>0.286</v>
      </c>
      <c r="I183" t="n">
        <v>334.3454399999999</v>
      </c>
      <c r="J183" t="n">
        <v>58209</v>
      </c>
      <c r="K183" t="n">
        <v>16648.58</v>
      </c>
    </row>
    <row r="184">
      <c r="A184" t="n">
        <v>2025</v>
      </c>
      <c r="B184" t="n">
        <v>4</v>
      </c>
      <c r="C184" t="inlineStr">
        <is>
          <t>F07</t>
        </is>
      </c>
      <c r="D184" t="n">
        <v>47.6</v>
      </c>
      <c r="E184" t="n">
        <v>26552</v>
      </c>
      <c r="F184" t="n">
        <v>911.7599999999993</v>
      </c>
      <c r="G184" t="n">
        <v/>
      </c>
      <c r="H184" t="n">
        <v>0.2655</v>
      </c>
      <c r="I184" t="n">
        <v>242.0722799999998</v>
      </c>
      <c r="J184" t="n">
        <v>41269</v>
      </c>
      <c r="K184" t="n">
        <v>10956.7</v>
      </c>
    </row>
    <row r="185">
      <c r="A185" t="n">
        <v>2025</v>
      </c>
      <c r="B185" t="n">
        <v>5</v>
      </c>
      <c r="C185" t="inlineStr">
        <is>
          <t>F07</t>
        </is>
      </c>
      <c r="D185" t="n">
        <v>0</v>
      </c>
      <c r="E185" t="n">
        <v>0</v>
      </c>
      <c r="F185" t="n">
        <v>341.7400000000007</v>
      </c>
      <c r="G185" t="n">
        <v/>
      </c>
      <c r="H185" t="n">
        <v>0.2575</v>
      </c>
      <c r="I185" t="n">
        <v>87.99805000000018</v>
      </c>
      <c r="J185" t="n">
        <v>30809</v>
      </c>
      <c r="K185" t="n">
        <v>7932.95</v>
      </c>
    </row>
    <row r="186">
      <c r="A186" t="n">
        <v>2025</v>
      </c>
      <c r="B186" t="n">
        <v>6</v>
      </c>
      <c r="C186" t="inlineStr">
        <is>
          <t>F07</t>
        </is>
      </c>
      <c r="D186" t="n">
        <v>47.1</v>
      </c>
      <c r="E186" t="n">
        <v>14836</v>
      </c>
      <c r="F186" t="n">
        <v>711.0299999999997</v>
      </c>
      <c r="G186" t="n">
        <v/>
      </c>
      <c r="H186" t="n">
        <v>0.355</v>
      </c>
      <c r="I186" t="n">
        <v>252.4156499999999</v>
      </c>
      <c r="J186" t="n">
        <v>33644</v>
      </c>
      <c r="K186" t="n">
        <v>11949.42</v>
      </c>
    </row>
    <row r="187">
      <c r="A187" t="n">
        <v>2025</v>
      </c>
      <c r="B187" t="n">
        <v>7</v>
      </c>
      <c r="C187" t="inlineStr">
        <is>
          <t>F07</t>
        </is>
      </c>
      <c r="D187" t="n">
        <v>56.1</v>
      </c>
      <c r="E187" t="n">
        <v>46226</v>
      </c>
      <c r="F187" t="n">
        <v>601.3400000000001</v>
      </c>
      <c r="G187" t="n">
        <v/>
      </c>
      <c r="H187" t="n">
        <v>0.296</v>
      </c>
      <c r="I187" t="n">
        <v>177.99664</v>
      </c>
      <c r="J187" t="n">
        <v>51483</v>
      </c>
      <c r="K187" t="n">
        <v>15262.33</v>
      </c>
    </row>
    <row r="188">
      <c r="A188" t="n">
        <v>2025</v>
      </c>
      <c r="B188" t="n">
        <v>8</v>
      </c>
      <c r="C188" t="inlineStr">
        <is>
          <t>F07</t>
        </is>
      </c>
      <c r="D188" t="n">
        <v>53.68</v>
      </c>
      <c r="E188" t="n">
        <v>51700</v>
      </c>
      <c r="F188" t="n">
        <v>238.8500000000004</v>
      </c>
      <c r="G188" t="n">
        <v/>
      </c>
      <c r="H188" t="n">
        <v>0.3268</v>
      </c>
      <c r="I188" t="n">
        <v>78.05618000000013</v>
      </c>
      <c r="J188" t="n">
        <v>17650</v>
      </c>
      <c r="K188" t="n">
        <v>5768.63</v>
      </c>
    </row>
    <row r="189">
      <c r="A189" t="n">
        <v>2025</v>
      </c>
      <c r="B189" t="n">
        <v>9</v>
      </c>
      <c r="C189" t="inlineStr">
        <is>
          <t>F07</t>
        </is>
      </c>
      <c r="D189" t="n">
        <v>220.84</v>
      </c>
      <c r="E189" t="n">
        <v>174681</v>
      </c>
      <c r="F189" t="n">
        <v>1110.879999999999</v>
      </c>
      <c r="G189" t="n">
        <v/>
      </c>
      <c r="H189" t="n">
        <v>0.2732</v>
      </c>
      <c r="I189" t="n">
        <v>303.4924159999997</v>
      </c>
      <c r="J189" t="n">
        <v>47214</v>
      </c>
      <c r="K189" t="n">
        <v>12897.86</v>
      </c>
    </row>
    <row r="190">
      <c r="A190" t="n">
        <v>2025</v>
      </c>
      <c r="B190" t="n">
        <v>10</v>
      </c>
      <c r="C190" t="inlineStr">
        <is>
          <t>F07</t>
        </is>
      </c>
      <c r="D190" t="n">
        <v>26.5</v>
      </c>
      <c r="E190" t="n">
        <v>27000</v>
      </c>
      <c r="F190" t="n">
        <v>959.7700000000004</v>
      </c>
      <c r="G190" t="n">
        <v/>
      </c>
      <c r="H190" t="n">
        <v>0.2134</v>
      </c>
      <c r="I190" t="n">
        <v>204.8149180000001</v>
      </c>
      <c r="J190" t="n">
        <v>47533</v>
      </c>
      <c r="K190" t="n">
        <v>13101.09</v>
      </c>
    </row>
    <row r="191">
      <c r="A191" t="n">
        <v>2025</v>
      </c>
      <c r="B191" t="n">
        <v>11</v>
      </c>
      <c r="C191" t="inlineStr">
        <is>
          <t>F07</t>
        </is>
      </c>
      <c r="D191" t="n">
        <v/>
      </c>
      <c r="E191" t="n">
        <v/>
      </c>
      <c r="F191" t="n">
        <v/>
      </c>
      <c r="G191" t="n">
        <v/>
      </c>
      <c r="H191" t="n">
        <v>0</v>
      </c>
      <c r="I191" t="n">
        <v/>
      </c>
      <c r="J191" t="n">
        <v>0</v>
      </c>
      <c r="K191" t="n">
        <v>0</v>
      </c>
    </row>
    <row r="192">
      <c r="A192" t="n">
        <v>2025</v>
      </c>
      <c r="B192" t="n">
        <v>12</v>
      </c>
      <c r="C192" t="inlineStr">
        <is>
          <t>F07</t>
        </is>
      </c>
      <c r="D192" t="n">
        <v/>
      </c>
      <c r="E192" t="n">
        <v/>
      </c>
      <c r="F192" t="n">
        <v/>
      </c>
      <c r="G192" t="n">
        <v/>
      </c>
      <c r="H192" t="n">
        <v>0</v>
      </c>
      <c r="I192" t="n">
        <v/>
      </c>
      <c r="J192" t="n">
        <v>0</v>
      </c>
      <c r="K192" t="n">
        <v>0</v>
      </c>
    </row>
    <row r="193">
      <c r="A193" t="n">
        <v>2024</v>
      </c>
      <c r="B193" t="n">
        <v>1</v>
      </c>
      <c r="C193" t="inlineStr">
        <is>
          <t>F08</t>
        </is>
      </c>
      <c r="D193" t="n">
        <v>93.13</v>
      </c>
      <c r="E193" t="n">
        <v>56800</v>
      </c>
      <c r="F193" t="n">
        <v/>
      </c>
      <c r="G193" t="n">
        <v/>
      </c>
      <c r="H193" t="n">
        <v>0.2557</v>
      </c>
      <c r="I193" t="n">
        <v/>
      </c>
      <c r="J193" t="n">
        <v>64934</v>
      </c>
      <c r="K193" t="n">
        <v>16601.39</v>
      </c>
    </row>
    <row r="194">
      <c r="A194" t="n">
        <v>2024</v>
      </c>
      <c r="B194" t="n">
        <v>2</v>
      </c>
      <c r="C194" t="inlineStr">
        <is>
          <t>F08</t>
        </is>
      </c>
      <c r="D194" t="n">
        <v>46.78</v>
      </c>
      <c r="E194" t="n">
        <v>47188</v>
      </c>
      <c r="F194" t="n">
        <v/>
      </c>
      <c r="G194" t="n">
        <v/>
      </c>
      <c r="H194" t="n">
        <v>0.2378</v>
      </c>
      <c r="I194" t="n">
        <v/>
      </c>
      <c r="J194" t="n">
        <v>71197</v>
      </c>
      <c r="K194" t="n">
        <v>16934</v>
      </c>
    </row>
    <row r="195">
      <c r="A195" t="n">
        <v>2024</v>
      </c>
      <c r="B195" t="n">
        <v>3</v>
      </c>
      <c r="C195" t="inlineStr">
        <is>
          <t>F08</t>
        </is>
      </c>
      <c r="D195" t="n">
        <v>70.5</v>
      </c>
      <c r="E195" t="n">
        <v>13740</v>
      </c>
      <c r="F195" t="n">
        <v/>
      </c>
      <c r="G195" t="n">
        <v/>
      </c>
      <c r="H195" t="n">
        <v>0.2428</v>
      </c>
      <c r="I195" t="n">
        <v/>
      </c>
      <c r="J195" t="n">
        <v>51152</v>
      </c>
      <c r="K195" t="n">
        <v>12419.74</v>
      </c>
    </row>
    <row r="196">
      <c r="A196" t="n">
        <v>2024</v>
      </c>
      <c r="B196" t="n">
        <v>4</v>
      </c>
      <c r="C196" t="inlineStr">
        <is>
          <t>F08</t>
        </is>
      </c>
      <c r="D196" t="n">
        <v>12.87</v>
      </c>
      <c r="E196" t="n">
        <v>2766</v>
      </c>
      <c r="F196" t="n">
        <v/>
      </c>
      <c r="G196" t="n">
        <v/>
      </c>
      <c r="H196" t="n">
        <v>0.2416</v>
      </c>
      <c r="I196" t="n">
        <v/>
      </c>
      <c r="J196" t="n">
        <v>45316</v>
      </c>
      <c r="K196" t="n">
        <v>10948.47</v>
      </c>
    </row>
    <row r="197">
      <c r="A197" t="n">
        <v>2024</v>
      </c>
      <c r="B197" t="n">
        <v>5</v>
      </c>
      <c r="C197" t="inlineStr">
        <is>
          <t>F08</t>
        </is>
      </c>
      <c r="D197" t="n">
        <v>0.11</v>
      </c>
      <c r="E197" t="n">
        <v>24</v>
      </c>
      <c r="F197" t="n">
        <v/>
      </c>
      <c r="G197" t="n">
        <v/>
      </c>
      <c r="H197" t="n">
        <v>0.2507</v>
      </c>
      <c r="I197" t="n">
        <v/>
      </c>
      <c r="J197" t="n">
        <v>51330</v>
      </c>
      <c r="K197" t="n">
        <v>12868.58</v>
      </c>
    </row>
    <row r="198">
      <c r="A198" t="n">
        <v>2024</v>
      </c>
      <c r="B198" t="n">
        <v>6</v>
      </c>
      <c r="C198" t="inlineStr">
        <is>
          <t>F08</t>
        </is>
      </c>
      <c r="D198" t="n">
        <v>0.43</v>
      </c>
      <c r="E198" t="n">
        <v>248</v>
      </c>
      <c r="F198" t="n">
        <v/>
      </c>
      <c r="G198" t="n">
        <v/>
      </c>
      <c r="H198" t="n">
        <v>0.2722</v>
      </c>
      <c r="I198" t="n">
        <v/>
      </c>
      <c r="J198" t="n">
        <v>42151</v>
      </c>
      <c r="K198" t="n">
        <v>11473.9</v>
      </c>
    </row>
    <row r="199">
      <c r="A199" t="n">
        <v>2024</v>
      </c>
      <c r="B199" t="n">
        <v>7</v>
      </c>
      <c r="C199" t="inlineStr">
        <is>
          <t>F08</t>
        </is>
      </c>
      <c r="D199" t="n">
        <v>29.16</v>
      </c>
      <c r="E199" t="n">
        <v>25648</v>
      </c>
      <c r="F199" t="n">
        <v/>
      </c>
      <c r="G199" t="n">
        <v/>
      </c>
      <c r="H199" t="n">
        <v>0.287</v>
      </c>
      <c r="I199" t="n">
        <v/>
      </c>
      <c r="J199" t="n">
        <v>67581</v>
      </c>
      <c r="K199" t="n">
        <v>19396.73</v>
      </c>
    </row>
    <row r="200">
      <c r="A200" t="n">
        <v>2024</v>
      </c>
      <c r="B200" t="n">
        <v>8</v>
      </c>
      <c r="C200" t="inlineStr">
        <is>
          <t>F08</t>
        </is>
      </c>
      <c r="D200" t="n">
        <v>32.63</v>
      </c>
      <c r="E200" t="n">
        <v>8515</v>
      </c>
      <c r="F200" t="n">
        <v/>
      </c>
      <c r="G200" t="n">
        <v/>
      </c>
      <c r="H200" t="n">
        <v>0.3047</v>
      </c>
      <c r="I200" t="n">
        <v/>
      </c>
      <c r="J200" t="n">
        <v>44796</v>
      </c>
      <c r="K200" t="n">
        <v>13651.04</v>
      </c>
    </row>
    <row r="201">
      <c r="A201" t="n">
        <v>2024</v>
      </c>
      <c r="B201" t="n">
        <v>9</v>
      </c>
      <c r="C201" t="inlineStr">
        <is>
          <t>F08</t>
        </is>
      </c>
      <c r="D201" t="n">
        <v>53.67</v>
      </c>
      <c r="E201" t="n">
        <v>26900</v>
      </c>
      <c r="F201" t="n">
        <v/>
      </c>
      <c r="G201" t="n">
        <v/>
      </c>
      <c r="H201" t="n">
        <v>0.2904</v>
      </c>
      <c r="I201" t="n">
        <v/>
      </c>
      <c r="J201" t="n">
        <v>52599</v>
      </c>
      <c r="K201" t="n">
        <v>15277.15</v>
      </c>
    </row>
    <row r="202">
      <c r="A202" t="n">
        <v>2024</v>
      </c>
      <c r="B202" t="n">
        <v>10</v>
      </c>
      <c r="C202" t="inlineStr">
        <is>
          <t>F08</t>
        </is>
      </c>
      <c r="D202" t="n">
        <v>35.61</v>
      </c>
      <c r="E202" t="n">
        <v>14098</v>
      </c>
      <c r="F202" t="n">
        <v/>
      </c>
      <c r="G202" t="n">
        <v/>
      </c>
      <c r="H202" t="n">
        <v>0.2856</v>
      </c>
      <c r="I202" t="n">
        <v/>
      </c>
      <c r="J202" t="n">
        <v>54362</v>
      </c>
      <c r="K202" t="n">
        <v>15523.99</v>
      </c>
    </row>
    <row r="203">
      <c r="A203" t="n">
        <v>2024</v>
      </c>
      <c r="B203" t="n">
        <v>11</v>
      </c>
      <c r="C203" t="inlineStr">
        <is>
          <t>F08</t>
        </is>
      </c>
      <c r="D203" t="n">
        <v>121.9</v>
      </c>
      <c r="E203" t="n">
        <v>31407</v>
      </c>
      <c r="F203" t="n">
        <v>835.7699999999999</v>
      </c>
      <c r="G203" t="n">
        <v/>
      </c>
      <c r="H203" t="n">
        <v>0.307</v>
      </c>
      <c r="I203" t="n">
        <v>256.5813899999999</v>
      </c>
      <c r="J203" t="n">
        <v>64157</v>
      </c>
      <c r="K203" t="n">
        <v>19751.41</v>
      </c>
    </row>
    <row r="204">
      <c r="A204" t="n">
        <v>2024</v>
      </c>
      <c r="B204" t="n">
        <v>12</v>
      </c>
      <c r="C204" t="inlineStr">
        <is>
          <t>F08</t>
        </is>
      </c>
      <c r="D204" t="n">
        <v>72</v>
      </c>
      <c r="E204" t="n">
        <v>48221</v>
      </c>
      <c r="F204" t="n">
        <v>578.6699999999998</v>
      </c>
      <c r="G204" t="n">
        <v/>
      </c>
      <c r="H204" t="n">
        <v>0.331</v>
      </c>
      <c r="I204" t="n">
        <v>191.5397699999999</v>
      </c>
      <c r="J204" t="n">
        <v>51593</v>
      </c>
      <c r="K204" t="n">
        <v>17063.94</v>
      </c>
    </row>
    <row r="205">
      <c r="A205" t="n">
        <v>2025</v>
      </c>
      <c r="B205" t="n">
        <v>1</v>
      </c>
      <c r="C205" t="inlineStr">
        <is>
          <t>F08</t>
        </is>
      </c>
      <c r="D205" t="n">
        <v>147.6</v>
      </c>
      <c r="E205" t="n">
        <v>67400</v>
      </c>
      <c r="F205" t="n">
        <v>910.7100000000003</v>
      </c>
      <c r="G205" t="n">
        <v/>
      </c>
      <c r="H205" t="n">
        <v>0.335</v>
      </c>
      <c r="I205" t="n">
        <v>305.0878500000001</v>
      </c>
      <c r="J205" t="n">
        <v>61904</v>
      </c>
      <c r="K205" t="n">
        <v>20875.39</v>
      </c>
    </row>
    <row r="206">
      <c r="A206" t="n">
        <v>2025</v>
      </c>
      <c r="B206" t="n">
        <v>2</v>
      </c>
      <c r="C206" t="inlineStr">
        <is>
          <t>F08</t>
        </is>
      </c>
      <c r="D206" t="n">
        <v>37.1</v>
      </c>
      <c r="E206" t="n">
        <v>23510</v>
      </c>
      <c r="F206" t="n">
        <v>770.3499999999999</v>
      </c>
      <c r="G206" t="n">
        <v/>
      </c>
      <c r="H206" t="n">
        <v>0.334</v>
      </c>
      <c r="I206" t="n">
        <v>257.2969</v>
      </c>
      <c r="J206" t="n">
        <v>60366</v>
      </c>
      <c r="K206" t="n">
        <v>20173.7</v>
      </c>
    </row>
    <row r="207">
      <c r="A207" t="n">
        <v>2025</v>
      </c>
      <c r="B207" t="n">
        <v>3</v>
      </c>
      <c r="C207" t="inlineStr">
        <is>
          <t>F08</t>
        </is>
      </c>
      <c r="D207" t="n">
        <v>77.5</v>
      </c>
      <c r="E207" t="n">
        <v>11300</v>
      </c>
      <c r="F207" t="n">
        <v>1060.23</v>
      </c>
      <c r="G207" t="n">
        <v/>
      </c>
      <c r="H207" t="n">
        <v>0.286</v>
      </c>
      <c r="I207" t="n">
        <v>303.22578</v>
      </c>
      <c r="J207" t="n">
        <v>58209</v>
      </c>
      <c r="K207" t="n">
        <v>16648.58</v>
      </c>
    </row>
    <row r="208">
      <c r="A208" t="n">
        <v>2025</v>
      </c>
      <c r="B208" t="n">
        <v>4</v>
      </c>
      <c r="C208" t="inlineStr">
        <is>
          <t>F08</t>
        </is>
      </c>
      <c r="D208" t="n">
        <v>70.59999999999999</v>
      </c>
      <c r="E208" t="n">
        <v>15552</v>
      </c>
      <c r="F208" t="n">
        <v>824.3100000000004</v>
      </c>
      <c r="G208" t="n">
        <v/>
      </c>
      <c r="H208" t="n">
        <v>0.2655</v>
      </c>
      <c r="I208" t="n">
        <v>218.8543050000001</v>
      </c>
      <c r="J208" t="n">
        <v>41269</v>
      </c>
      <c r="K208" t="n">
        <v>10956.7</v>
      </c>
    </row>
    <row r="209">
      <c r="A209" t="n">
        <v>2025</v>
      </c>
      <c r="B209" t="n">
        <v>5</v>
      </c>
      <c r="C209" t="inlineStr">
        <is>
          <t>F08</t>
        </is>
      </c>
      <c r="D209" t="n">
        <v>58.7</v>
      </c>
      <c r="E209" t="n">
        <v>11985</v>
      </c>
      <c r="F209" t="n">
        <v>586.4800000000005</v>
      </c>
      <c r="G209" t="n">
        <v/>
      </c>
      <c r="H209" t="n">
        <v>0.2575</v>
      </c>
      <c r="I209" t="n">
        <v>151.0186000000001</v>
      </c>
      <c r="J209" t="n">
        <v>30809</v>
      </c>
      <c r="K209" t="n">
        <v>7932.95</v>
      </c>
    </row>
    <row r="210">
      <c r="A210" t="n">
        <v>2025</v>
      </c>
      <c r="B210" t="n">
        <v>6</v>
      </c>
      <c r="C210" t="inlineStr">
        <is>
          <t>F08</t>
        </is>
      </c>
      <c r="D210" t="n">
        <v>83.5</v>
      </c>
      <c r="E210" t="n">
        <v>14828</v>
      </c>
      <c r="F210" t="n">
        <v>840.0599999999995</v>
      </c>
      <c r="G210" t="n">
        <v/>
      </c>
      <c r="H210" t="n">
        <v>0.355</v>
      </c>
      <c r="I210" t="n">
        <v>298.2212999999998</v>
      </c>
      <c r="J210" t="n">
        <v>33644</v>
      </c>
      <c r="K210" t="n">
        <v>11949.42</v>
      </c>
    </row>
    <row r="211">
      <c r="A211" t="n">
        <v>2025</v>
      </c>
      <c r="B211" t="n">
        <v>7</v>
      </c>
      <c r="C211" t="inlineStr">
        <is>
          <t>F08</t>
        </is>
      </c>
      <c r="D211" t="n">
        <v>131.1</v>
      </c>
      <c r="E211" t="n">
        <v>115922</v>
      </c>
      <c r="F211" t="n">
        <v>1044.72</v>
      </c>
      <c r="G211" t="n">
        <v/>
      </c>
      <c r="H211" t="n">
        <v>0.296</v>
      </c>
      <c r="I211" t="n">
        <v>309.23712</v>
      </c>
      <c r="J211" t="n">
        <v>51483</v>
      </c>
      <c r="K211" t="n">
        <v>15262.33</v>
      </c>
    </row>
    <row r="212">
      <c r="A212" t="n">
        <v>2025</v>
      </c>
      <c r="B212" t="n">
        <v>8</v>
      </c>
      <c r="C212" t="inlineStr">
        <is>
          <t>F08</t>
        </is>
      </c>
      <c r="D212" t="n">
        <v>0</v>
      </c>
      <c r="E212" t="n">
        <v>0</v>
      </c>
      <c r="F212" t="n">
        <v>7.179999999999382</v>
      </c>
      <c r="G212" t="n">
        <v/>
      </c>
      <c r="H212" t="n">
        <v>0.3268</v>
      </c>
      <c r="I212" t="n">
        <v>2.346423999999798</v>
      </c>
      <c r="J212" t="n">
        <v>17650</v>
      </c>
      <c r="K212" t="n">
        <v>5768.63</v>
      </c>
    </row>
    <row r="213">
      <c r="A213" t="n">
        <v>2025</v>
      </c>
      <c r="B213" t="n">
        <v>9</v>
      </c>
      <c r="C213" t="inlineStr">
        <is>
          <t>F08</t>
        </is>
      </c>
      <c r="D213" t="n">
        <v>0</v>
      </c>
      <c r="E213" t="n">
        <v>0</v>
      </c>
      <c r="F213" t="n">
        <v>0</v>
      </c>
      <c r="G213" t="n">
        <v/>
      </c>
      <c r="H213" t="n">
        <v>0.2732</v>
      </c>
      <c r="I213" t="n">
        <v>0</v>
      </c>
      <c r="J213" t="n">
        <v>47214</v>
      </c>
      <c r="K213" t="n">
        <v>12897.86</v>
      </c>
    </row>
    <row r="214">
      <c r="A214" t="n">
        <v>2025</v>
      </c>
      <c r="B214" t="n">
        <v>10</v>
      </c>
      <c r="C214" t="inlineStr">
        <is>
          <t>F08</t>
        </is>
      </c>
      <c r="D214" t="n">
        <v>0</v>
      </c>
      <c r="E214" t="n">
        <v>0</v>
      </c>
      <c r="F214" t="n">
        <v>0</v>
      </c>
      <c r="G214" t="n">
        <v/>
      </c>
      <c r="H214" t="n">
        <v>0.2134</v>
      </c>
      <c r="I214" t="n">
        <v>0</v>
      </c>
      <c r="J214" t="n">
        <v>47533</v>
      </c>
      <c r="K214" t="n">
        <v>13101.09</v>
      </c>
    </row>
    <row r="215">
      <c r="A215" t="n">
        <v>2025</v>
      </c>
      <c r="B215" t="n">
        <v>11</v>
      </c>
      <c r="C215" t="inlineStr">
        <is>
          <t>F08</t>
        </is>
      </c>
      <c r="D215" t="n">
        <v/>
      </c>
      <c r="E215" t="n">
        <v/>
      </c>
      <c r="F215" t="n">
        <v/>
      </c>
      <c r="G215" t="n">
        <v/>
      </c>
      <c r="H215" t="n">
        <v>0</v>
      </c>
      <c r="I215" t="n">
        <v/>
      </c>
      <c r="J215" t="n">
        <v>0</v>
      </c>
      <c r="K215" t="n">
        <v>0</v>
      </c>
    </row>
    <row r="216">
      <c r="A216" t="n">
        <v>2025</v>
      </c>
      <c r="B216" t="n">
        <v>12</v>
      </c>
      <c r="C216" t="inlineStr">
        <is>
          <t>F08</t>
        </is>
      </c>
      <c r="D216" t="n">
        <v/>
      </c>
      <c r="E216" t="n">
        <v/>
      </c>
      <c r="F216" t="n">
        <v/>
      </c>
      <c r="G216" t="n">
        <v/>
      </c>
      <c r="H216" t="n">
        <v>0</v>
      </c>
      <c r="I216" t="n">
        <v/>
      </c>
      <c r="J216" t="n">
        <v>0</v>
      </c>
      <c r="K216" t="n">
        <v>0</v>
      </c>
    </row>
    <row r="217">
      <c r="A217" t="n">
        <v>2024</v>
      </c>
      <c r="B217" t="n">
        <v>1</v>
      </c>
      <c r="C217" t="inlineStr">
        <is>
          <t>F09</t>
        </is>
      </c>
      <c r="D217" t="n">
        <v>129.43</v>
      </c>
      <c r="E217" t="n">
        <v>45447</v>
      </c>
      <c r="F217" t="n">
        <v/>
      </c>
      <c r="G217" t="n">
        <v/>
      </c>
      <c r="H217" t="n">
        <v>0.2557</v>
      </c>
      <c r="I217" t="n">
        <v/>
      </c>
      <c r="J217" t="n">
        <v>64934</v>
      </c>
      <c r="K217" t="n">
        <v>16601.39</v>
      </c>
    </row>
    <row r="218">
      <c r="A218" t="n">
        <v>2024</v>
      </c>
      <c r="B218" t="n">
        <v>2</v>
      </c>
      <c r="C218" t="inlineStr">
        <is>
          <t>F09</t>
        </is>
      </c>
      <c r="D218" t="n">
        <v>108.66</v>
      </c>
      <c r="E218" t="n">
        <v>27652</v>
      </c>
      <c r="F218" t="n">
        <v/>
      </c>
      <c r="G218" t="n">
        <v/>
      </c>
      <c r="H218" t="n">
        <v>0.2378</v>
      </c>
      <c r="I218" t="n">
        <v/>
      </c>
      <c r="J218" t="n">
        <v>71197</v>
      </c>
      <c r="K218" t="n">
        <v>16934</v>
      </c>
    </row>
    <row r="219">
      <c r="A219" t="n">
        <v>2024</v>
      </c>
      <c r="B219" t="n">
        <v>3</v>
      </c>
      <c r="C219" t="inlineStr">
        <is>
          <t>F09</t>
        </is>
      </c>
      <c r="D219" t="n">
        <v>111.16</v>
      </c>
      <c r="E219" t="n">
        <v>36608</v>
      </c>
      <c r="F219" t="n">
        <v/>
      </c>
      <c r="G219" t="n">
        <v/>
      </c>
      <c r="H219" t="n">
        <v>0.2428</v>
      </c>
      <c r="I219" t="n">
        <v/>
      </c>
      <c r="J219" t="n">
        <v>51152</v>
      </c>
      <c r="K219" t="n">
        <v>12419.74</v>
      </c>
    </row>
    <row r="220">
      <c r="A220" t="n">
        <v>2024</v>
      </c>
      <c r="B220" t="n">
        <v>4</v>
      </c>
      <c r="C220" t="inlineStr">
        <is>
          <t>F09</t>
        </is>
      </c>
      <c r="D220" t="n">
        <v>43.4</v>
      </c>
      <c r="E220" t="n">
        <v>15452</v>
      </c>
      <c r="F220" t="n">
        <v/>
      </c>
      <c r="G220" t="n">
        <v/>
      </c>
      <c r="H220" t="n">
        <v>0.2416</v>
      </c>
      <c r="I220" t="n">
        <v/>
      </c>
      <c r="J220" t="n">
        <v>45316</v>
      </c>
      <c r="K220" t="n">
        <v>10948.47</v>
      </c>
    </row>
    <row r="221">
      <c r="A221" t="n">
        <v>2024</v>
      </c>
      <c r="B221" t="n">
        <v>5</v>
      </c>
      <c r="C221" t="inlineStr">
        <is>
          <t>F09</t>
        </is>
      </c>
      <c r="D221" t="n">
        <v>65.23999999999999</v>
      </c>
      <c r="E221" t="n">
        <v>17425</v>
      </c>
      <c r="F221" t="n">
        <v/>
      </c>
      <c r="G221" t="n">
        <v/>
      </c>
      <c r="H221" t="n">
        <v>0.2507</v>
      </c>
      <c r="I221" t="n">
        <v/>
      </c>
      <c r="J221" t="n">
        <v>51330</v>
      </c>
      <c r="K221" t="n">
        <v>12868.58</v>
      </c>
    </row>
    <row r="222">
      <c r="A222" t="n">
        <v>2024</v>
      </c>
      <c r="B222" t="n">
        <v>6</v>
      </c>
      <c r="C222" t="inlineStr">
        <is>
          <t>F09</t>
        </is>
      </c>
      <c r="D222" t="n">
        <v>0</v>
      </c>
      <c r="E222" t="n">
        <v>0</v>
      </c>
      <c r="F222" t="n">
        <v/>
      </c>
      <c r="G222" t="n">
        <v/>
      </c>
      <c r="H222" t="n">
        <v>0.2722</v>
      </c>
      <c r="I222" t="n">
        <v/>
      </c>
      <c r="J222" t="n">
        <v>42151</v>
      </c>
      <c r="K222" t="n">
        <v>11473.9</v>
      </c>
    </row>
    <row r="223">
      <c r="A223" t="n">
        <v>2024</v>
      </c>
      <c r="B223" t="n">
        <v>7</v>
      </c>
      <c r="C223" t="inlineStr">
        <is>
          <t>F09</t>
        </is>
      </c>
      <c r="D223" t="n">
        <v>53.62</v>
      </c>
      <c r="E223" t="n">
        <v>5264</v>
      </c>
      <c r="F223" t="n">
        <v/>
      </c>
      <c r="G223" t="n">
        <v/>
      </c>
      <c r="H223" t="n">
        <v>0.287</v>
      </c>
      <c r="I223" t="n">
        <v/>
      </c>
      <c r="J223" t="n">
        <v>67581</v>
      </c>
      <c r="K223" t="n">
        <v>19396.73</v>
      </c>
    </row>
    <row r="224">
      <c r="A224" t="n">
        <v>2024</v>
      </c>
      <c r="B224" t="n">
        <v>8</v>
      </c>
      <c r="C224" t="inlineStr">
        <is>
          <t>F09</t>
        </is>
      </c>
      <c r="D224" t="n">
        <v>14.37</v>
      </c>
      <c r="E224" t="n">
        <v>2128</v>
      </c>
      <c r="F224" t="n">
        <v/>
      </c>
      <c r="G224" t="n">
        <v/>
      </c>
      <c r="H224" t="n">
        <v>0.3047</v>
      </c>
      <c r="I224" t="n">
        <v/>
      </c>
      <c r="J224" t="n">
        <v>44796</v>
      </c>
      <c r="K224" t="n">
        <v>13651.04</v>
      </c>
    </row>
    <row r="225">
      <c r="A225" t="n">
        <v>2024</v>
      </c>
      <c r="B225" t="n">
        <v>9</v>
      </c>
      <c r="C225" t="inlineStr">
        <is>
          <t>F09</t>
        </is>
      </c>
      <c r="D225" t="n">
        <v>24.86</v>
      </c>
      <c r="E225" t="n">
        <v>15040</v>
      </c>
      <c r="F225" t="n">
        <v/>
      </c>
      <c r="G225" t="n">
        <v/>
      </c>
      <c r="H225" t="n">
        <v>0.2904</v>
      </c>
      <c r="I225" t="n">
        <v/>
      </c>
      <c r="J225" t="n">
        <v>52599</v>
      </c>
      <c r="K225" t="n">
        <v>15277.15</v>
      </c>
    </row>
    <row r="226">
      <c r="A226" t="n">
        <v>2024</v>
      </c>
      <c r="B226" t="n">
        <v>10</v>
      </c>
      <c r="C226" t="inlineStr">
        <is>
          <t>F09</t>
        </is>
      </c>
      <c r="D226" t="n">
        <v>22.06</v>
      </c>
      <c r="E226" t="n">
        <v>9360</v>
      </c>
      <c r="F226" t="n">
        <v/>
      </c>
      <c r="G226" t="n">
        <v/>
      </c>
      <c r="H226" t="n">
        <v>0.2856</v>
      </c>
      <c r="I226" t="n">
        <v/>
      </c>
      <c r="J226" t="n">
        <v>54362</v>
      </c>
      <c r="K226" t="n">
        <v>15523.99</v>
      </c>
    </row>
    <row r="227">
      <c r="A227" t="n">
        <v>2024</v>
      </c>
      <c r="B227" t="n">
        <v>11</v>
      </c>
      <c r="C227" t="inlineStr">
        <is>
          <t>F09</t>
        </is>
      </c>
      <c r="D227" t="n">
        <v>50.7</v>
      </c>
      <c r="E227" t="n">
        <v>23463</v>
      </c>
      <c r="F227" t="n">
        <v>449.71</v>
      </c>
      <c r="G227" t="n">
        <v/>
      </c>
      <c r="H227" t="n">
        <v>0.307</v>
      </c>
      <c r="I227" t="n">
        <v>138.06097</v>
      </c>
      <c r="J227" t="n">
        <v>64157</v>
      </c>
      <c r="K227" t="n">
        <v>19751.41</v>
      </c>
    </row>
    <row r="228">
      <c r="A228" t="n">
        <v>2024</v>
      </c>
      <c r="B228" t="n">
        <v>12</v>
      </c>
      <c r="C228" t="inlineStr">
        <is>
          <t>F09</t>
        </is>
      </c>
      <c r="D228" t="n">
        <v>12.4</v>
      </c>
      <c r="E228" t="n">
        <v>3993</v>
      </c>
      <c r="F228" t="n">
        <v>164.26</v>
      </c>
      <c r="G228" t="n">
        <v/>
      </c>
      <c r="H228" t="n">
        <v>0.331</v>
      </c>
      <c r="I228" t="n">
        <v>54.37006</v>
      </c>
      <c r="J228" t="n">
        <v>51593</v>
      </c>
      <c r="K228" t="n">
        <v>17063.94</v>
      </c>
    </row>
    <row r="229">
      <c r="A229" t="n">
        <v>2025</v>
      </c>
      <c r="B229" t="n">
        <v>1</v>
      </c>
      <c r="C229" t="inlineStr">
        <is>
          <t>F09</t>
        </is>
      </c>
      <c r="D229" t="n">
        <v>2.3</v>
      </c>
      <c r="E229" t="n">
        <v>9</v>
      </c>
      <c r="F229" t="n">
        <v>135.3</v>
      </c>
      <c r="G229" t="n">
        <v/>
      </c>
      <c r="H229" t="n">
        <v>0.335</v>
      </c>
      <c r="I229" t="n">
        <v>45.32550000000001</v>
      </c>
      <c r="J229" t="n">
        <v>61904</v>
      </c>
      <c r="K229" t="n">
        <v>20875.39</v>
      </c>
    </row>
    <row r="230">
      <c r="A230" t="n">
        <v>2025</v>
      </c>
      <c r="B230" t="n">
        <v>2</v>
      </c>
      <c r="C230" t="inlineStr">
        <is>
          <t>F09</t>
        </is>
      </c>
      <c r="D230" t="n">
        <v>64.09999999999999</v>
      </c>
      <c r="E230" t="n">
        <v>36009</v>
      </c>
      <c r="F230" t="n">
        <v>341.6400000000001</v>
      </c>
      <c r="G230" t="n">
        <v/>
      </c>
      <c r="H230" t="n">
        <v>0.334</v>
      </c>
      <c r="I230" t="n">
        <v>114.10776</v>
      </c>
      <c r="J230" t="n">
        <v>60366</v>
      </c>
      <c r="K230" t="n">
        <v>20173.7</v>
      </c>
    </row>
    <row r="231">
      <c r="A231" t="n">
        <v>2025</v>
      </c>
      <c r="B231" t="n">
        <v>3</v>
      </c>
      <c r="C231" t="inlineStr">
        <is>
          <t>F09</t>
        </is>
      </c>
      <c r="D231" t="n">
        <v>99.40000000000001</v>
      </c>
      <c r="E231" t="n">
        <v>22178</v>
      </c>
      <c r="F231" t="n">
        <v>401.27</v>
      </c>
      <c r="G231" t="n">
        <v/>
      </c>
      <c r="H231" t="n">
        <v>0.286</v>
      </c>
      <c r="I231" t="n">
        <v>114.76322</v>
      </c>
      <c r="J231" t="n">
        <v>58209</v>
      </c>
      <c r="K231" t="n">
        <v>16648.58</v>
      </c>
    </row>
    <row r="232">
      <c r="A232" t="n">
        <v>2025</v>
      </c>
      <c r="B232" t="n">
        <v>4</v>
      </c>
      <c r="C232" t="inlineStr">
        <is>
          <t>F09</t>
        </is>
      </c>
      <c r="D232" t="n">
        <v>66</v>
      </c>
      <c r="E232" t="n">
        <v>16806</v>
      </c>
      <c r="F232" t="n">
        <v>375.3900000000001</v>
      </c>
      <c r="G232" t="n">
        <v/>
      </c>
      <c r="H232" t="n">
        <v>0.2655</v>
      </c>
      <c r="I232" t="n">
        <v>99.66604500000003</v>
      </c>
      <c r="J232" t="n">
        <v>41269</v>
      </c>
      <c r="K232" t="n">
        <v>10956.7</v>
      </c>
    </row>
    <row r="233">
      <c r="A233" t="n">
        <v>2025</v>
      </c>
      <c r="B233" t="n">
        <v>5</v>
      </c>
      <c r="C233" t="inlineStr">
        <is>
          <t>F09</t>
        </is>
      </c>
      <c r="D233" t="n">
        <v>0</v>
      </c>
      <c r="E233" t="n">
        <v>0</v>
      </c>
      <c r="F233" t="n">
        <v>23.59999999999991</v>
      </c>
      <c r="G233" t="n">
        <v/>
      </c>
      <c r="H233" t="n">
        <v>0.2575</v>
      </c>
      <c r="I233" t="n">
        <v>6.076999999999977</v>
      </c>
      <c r="J233" t="n">
        <v>30809</v>
      </c>
      <c r="K233" t="n">
        <v>7932.95</v>
      </c>
    </row>
    <row r="234">
      <c r="A234" t="n">
        <v>2025</v>
      </c>
      <c r="B234" t="n">
        <v>6</v>
      </c>
      <c r="C234" t="inlineStr">
        <is>
          <t>F09</t>
        </is>
      </c>
      <c r="D234" t="n">
        <v>19.5</v>
      </c>
      <c r="E234" t="n">
        <v>13125</v>
      </c>
      <c r="F234" t="n">
        <v>159.25</v>
      </c>
      <c r="G234" t="n">
        <v/>
      </c>
      <c r="H234" t="n">
        <v>0.355</v>
      </c>
      <c r="I234" t="n">
        <v>56.53375</v>
      </c>
      <c r="J234" t="n">
        <v>33644</v>
      </c>
      <c r="K234" t="n">
        <v>11949.42</v>
      </c>
    </row>
    <row r="235">
      <c r="A235" t="n">
        <v>2025</v>
      </c>
      <c r="B235" t="n">
        <v>7</v>
      </c>
      <c r="C235" t="inlineStr">
        <is>
          <t>F09</t>
        </is>
      </c>
      <c r="D235" t="n">
        <v>57.8</v>
      </c>
      <c r="E235" t="n">
        <v>18000</v>
      </c>
      <c r="F235" t="n">
        <v>262.4200000000001</v>
      </c>
      <c r="G235" t="n">
        <v/>
      </c>
      <c r="H235" t="n">
        <v>0.296</v>
      </c>
      <c r="I235" t="n">
        <v>77.67632000000002</v>
      </c>
      <c r="J235" t="n">
        <v>51483</v>
      </c>
      <c r="K235" t="n">
        <v>15262.33</v>
      </c>
    </row>
    <row r="236">
      <c r="A236" t="n">
        <v>2025</v>
      </c>
      <c r="B236" t="n">
        <v>8</v>
      </c>
      <c r="C236" t="inlineStr">
        <is>
          <t>F09</t>
        </is>
      </c>
      <c r="D236" t="n">
        <v>8.56</v>
      </c>
      <c r="E236" t="n">
        <v>5000</v>
      </c>
      <c r="F236" t="n">
        <v>76.19000000000005</v>
      </c>
      <c r="G236" t="n">
        <v/>
      </c>
      <c r="H236" t="n">
        <v>0.3268</v>
      </c>
      <c r="I236" t="n">
        <v>24.89889200000002</v>
      </c>
      <c r="J236" t="n">
        <v>17650</v>
      </c>
      <c r="K236" t="n">
        <v>5768.63</v>
      </c>
    </row>
    <row r="237">
      <c r="A237" t="n">
        <v>2025</v>
      </c>
      <c r="B237" t="n">
        <v>9</v>
      </c>
      <c r="C237" t="inlineStr">
        <is>
          <t>F09</t>
        </is>
      </c>
      <c r="D237" t="n">
        <v>25.67</v>
      </c>
      <c r="E237" t="n">
        <v>18360</v>
      </c>
      <c r="F237" t="n">
        <v>293.54</v>
      </c>
      <c r="G237" t="n">
        <v/>
      </c>
      <c r="H237" t="n">
        <v>0.2732</v>
      </c>
      <c r="I237" t="n">
        <v>80.19512800000001</v>
      </c>
      <c r="J237" t="n">
        <v>47214</v>
      </c>
      <c r="K237" t="n">
        <v>12897.86</v>
      </c>
    </row>
    <row r="238">
      <c r="A238" t="n">
        <v>2025</v>
      </c>
      <c r="B238" t="n">
        <v>10</v>
      </c>
      <c r="C238" t="inlineStr">
        <is>
          <t>F09</t>
        </is>
      </c>
      <c r="D238" t="n">
        <v>0</v>
      </c>
      <c r="E238" t="n">
        <v>0</v>
      </c>
      <c r="F238" t="n">
        <v>39.76999999999998</v>
      </c>
      <c r="G238" t="n">
        <v/>
      </c>
      <c r="H238" t="n">
        <v>0.2134</v>
      </c>
      <c r="I238" t="n">
        <v>8.486917999999996</v>
      </c>
      <c r="J238" t="n">
        <v>47533</v>
      </c>
      <c r="K238" t="n">
        <v>13101.09</v>
      </c>
    </row>
    <row r="239">
      <c r="A239" t="n">
        <v>2025</v>
      </c>
      <c r="B239" t="n">
        <v>11</v>
      </c>
      <c r="C239" t="inlineStr">
        <is>
          <t>F09</t>
        </is>
      </c>
      <c r="D239" t="n">
        <v/>
      </c>
      <c r="E239" t="n">
        <v/>
      </c>
      <c r="F239" t="n">
        <v/>
      </c>
      <c r="G239" t="n">
        <v/>
      </c>
      <c r="H239" t="n">
        <v>0</v>
      </c>
      <c r="I239" t="n">
        <v/>
      </c>
      <c r="J239" t="n">
        <v>0</v>
      </c>
      <c r="K239" t="n">
        <v>0</v>
      </c>
    </row>
    <row r="240">
      <c r="A240" t="n">
        <v>2025</v>
      </c>
      <c r="B240" t="n">
        <v>12</v>
      </c>
      <c r="C240" t="inlineStr">
        <is>
          <t>F09</t>
        </is>
      </c>
      <c r="D240" t="n">
        <v/>
      </c>
      <c r="E240" t="n">
        <v/>
      </c>
      <c r="F240" t="n">
        <v/>
      </c>
      <c r="G240" t="n">
        <v/>
      </c>
      <c r="H240" t="n">
        <v>0</v>
      </c>
      <c r="I240" t="n">
        <v/>
      </c>
      <c r="J240" t="n">
        <v>0</v>
      </c>
      <c r="K240" t="n">
        <v>0</v>
      </c>
    </row>
    <row r="241">
      <c r="A241" t="n">
        <v>2024</v>
      </c>
      <c r="B241" t="n">
        <v>1</v>
      </c>
      <c r="C241" t="inlineStr">
        <is>
          <t>F10</t>
        </is>
      </c>
      <c r="D241" t="n">
        <v>101.86</v>
      </c>
      <c r="E241" t="n">
        <v>38280</v>
      </c>
      <c r="F241" t="n">
        <v/>
      </c>
      <c r="G241" t="n">
        <v/>
      </c>
      <c r="H241" t="n">
        <v>0.2557</v>
      </c>
      <c r="I241" t="n">
        <v/>
      </c>
      <c r="J241" t="n">
        <v>64934</v>
      </c>
      <c r="K241" t="n">
        <v>16601.39</v>
      </c>
    </row>
    <row r="242">
      <c r="A242" t="n">
        <v>2024</v>
      </c>
      <c r="B242" t="n">
        <v>2</v>
      </c>
      <c r="C242" t="inlineStr">
        <is>
          <t>F10</t>
        </is>
      </c>
      <c r="D242" t="n">
        <v>209.38</v>
      </c>
      <c r="E242" t="n">
        <v>52900</v>
      </c>
      <c r="F242" t="n">
        <v/>
      </c>
      <c r="G242" t="n">
        <v/>
      </c>
      <c r="H242" t="n">
        <v>0.2378</v>
      </c>
      <c r="I242" t="n">
        <v/>
      </c>
      <c r="J242" t="n">
        <v>71197</v>
      </c>
      <c r="K242" t="n">
        <v>16934</v>
      </c>
    </row>
    <row r="243">
      <c r="A243" t="n">
        <v>2024</v>
      </c>
      <c r="B243" t="n">
        <v>3</v>
      </c>
      <c r="C243" t="inlineStr">
        <is>
          <t>F10</t>
        </is>
      </c>
      <c r="D243" t="n">
        <v>38.6</v>
      </c>
      <c r="E243" t="n">
        <v>47680</v>
      </c>
      <c r="F243" t="n">
        <v/>
      </c>
      <c r="G243" t="n">
        <v/>
      </c>
      <c r="H243" t="n">
        <v>0.2428</v>
      </c>
      <c r="I243" t="n">
        <v/>
      </c>
      <c r="J243" t="n">
        <v>51152</v>
      </c>
      <c r="K243" t="n">
        <v>12419.74</v>
      </c>
    </row>
    <row r="244">
      <c r="A244" t="n">
        <v>2024</v>
      </c>
      <c r="B244" t="n">
        <v>4</v>
      </c>
      <c r="C244" t="inlineStr">
        <is>
          <t>F10</t>
        </is>
      </c>
      <c r="D244" t="n">
        <v>253.99</v>
      </c>
      <c r="E244" t="n">
        <v>21709</v>
      </c>
      <c r="F244" t="n">
        <v/>
      </c>
      <c r="G244" t="n">
        <v/>
      </c>
      <c r="H244" t="n">
        <v>0.2416</v>
      </c>
      <c r="I244" t="n">
        <v/>
      </c>
      <c r="J244" t="n">
        <v>45316</v>
      </c>
      <c r="K244" t="n">
        <v>10948.47</v>
      </c>
    </row>
    <row r="245">
      <c r="A245" t="n">
        <v>2024</v>
      </c>
      <c r="B245" t="n">
        <v>5</v>
      </c>
      <c r="C245" t="inlineStr">
        <is>
          <t>F10</t>
        </is>
      </c>
      <c r="D245" t="n">
        <v>160.65</v>
      </c>
      <c r="E245" t="n">
        <v>29355</v>
      </c>
      <c r="F245" t="n">
        <v/>
      </c>
      <c r="G245" t="n">
        <v/>
      </c>
      <c r="H245" t="n">
        <v>0.2507</v>
      </c>
      <c r="I245" t="n">
        <v/>
      </c>
      <c r="J245" t="n">
        <v>51330</v>
      </c>
      <c r="K245" t="n">
        <v>12868.58</v>
      </c>
    </row>
    <row r="246">
      <c r="A246" t="n">
        <v>2024</v>
      </c>
      <c r="B246" t="n">
        <v>6</v>
      </c>
      <c r="C246" t="inlineStr">
        <is>
          <t>F10</t>
        </is>
      </c>
      <c r="D246" t="n">
        <v>36.54</v>
      </c>
      <c r="E246" t="n">
        <v>20502</v>
      </c>
      <c r="F246" t="n">
        <v/>
      </c>
      <c r="G246" t="n">
        <v/>
      </c>
      <c r="H246" t="n">
        <v>0.2722</v>
      </c>
      <c r="I246" t="n">
        <v/>
      </c>
      <c r="J246" t="n">
        <v>42151</v>
      </c>
      <c r="K246" t="n">
        <v>11473.9</v>
      </c>
    </row>
    <row r="247">
      <c r="A247" t="n">
        <v>2024</v>
      </c>
      <c r="B247" t="n">
        <v>7</v>
      </c>
      <c r="C247" t="inlineStr">
        <is>
          <t>F10</t>
        </is>
      </c>
      <c r="D247" t="n">
        <v>0</v>
      </c>
      <c r="E247" t="n">
        <v>0</v>
      </c>
      <c r="F247" t="n">
        <v/>
      </c>
      <c r="G247" t="n">
        <v/>
      </c>
      <c r="H247" t="n">
        <v>0.287</v>
      </c>
      <c r="I247" t="n">
        <v/>
      </c>
      <c r="J247" t="n">
        <v>67581</v>
      </c>
      <c r="K247" t="n">
        <v>19396.73</v>
      </c>
    </row>
    <row r="248">
      <c r="A248" t="n">
        <v>2024</v>
      </c>
      <c r="B248" t="n">
        <v>8</v>
      </c>
      <c r="C248" t="inlineStr">
        <is>
          <t>F10</t>
        </is>
      </c>
      <c r="D248" t="n">
        <v>23.03</v>
      </c>
      <c r="E248" t="n">
        <v>10980</v>
      </c>
      <c r="F248" t="n">
        <v/>
      </c>
      <c r="G248" t="n">
        <v/>
      </c>
      <c r="H248" t="n">
        <v>0.3047</v>
      </c>
      <c r="I248" t="n">
        <v/>
      </c>
      <c r="J248" t="n">
        <v>44796</v>
      </c>
      <c r="K248" t="n">
        <v>13651.04</v>
      </c>
    </row>
    <row r="249">
      <c r="A249" t="n">
        <v>2024</v>
      </c>
      <c r="B249" t="n">
        <v>9</v>
      </c>
      <c r="C249" t="inlineStr">
        <is>
          <t>F10</t>
        </is>
      </c>
      <c r="D249" t="n">
        <v>51.57</v>
      </c>
      <c r="E249" t="n">
        <v>26298</v>
      </c>
      <c r="F249" t="n">
        <v/>
      </c>
      <c r="G249" t="n">
        <v/>
      </c>
      <c r="H249" t="n">
        <v>0.2904</v>
      </c>
      <c r="I249" t="n">
        <v/>
      </c>
      <c r="J249" t="n">
        <v>52599</v>
      </c>
      <c r="K249" t="n">
        <v>15277.15</v>
      </c>
    </row>
    <row r="250">
      <c r="A250" t="n">
        <v>2024</v>
      </c>
      <c r="B250" t="n">
        <v>10</v>
      </c>
      <c r="C250" t="inlineStr">
        <is>
          <t>F10</t>
        </is>
      </c>
      <c r="D250" t="n">
        <v>21.41</v>
      </c>
      <c r="E250" t="n">
        <v>4628</v>
      </c>
      <c r="F250" t="n">
        <v/>
      </c>
      <c r="G250" t="n">
        <v/>
      </c>
      <c r="H250" t="n">
        <v>0.2856</v>
      </c>
      <c r="I250" t="n">
        <v/>
      </c>
      <c r="J250" t="n">
        <v>54362</v>
      </c>
      <c r="K250" t="n">
        <v>15523.99</v>
      </c>
    </row>
    <row r="251">
      <c r="A251" t="n">
        <v>2024</v>
      </c>
      <c r="B251" t="n">
        <v>11</v>
      </c>
      <c r="C251" t="inlineStr">
        <is>
          <t>F10</t>
        </is>
      </c>
      <c r="D251" t="n">
        <v>55.1</v>
      </c>
      <c r="E251" t="n">
        <v>31023</v>
      </c>
      <c r="F251" t="n">
        <v>889.11</v>
      </c>
      <c r="G251" t="n">
        <v/>
      </c>
      <c r="H251" t="n">
        <v>0.307</v>
      </c>
      <c r="I251" t="n">
        <v>272.95677</v>
      </c>
      <c r="J251" t="n">
        <v>64157</v>
      </c>
      <c r="K251" t="n">
        <v>19751.41</v>
      </c>
    </row>
    <row r="252">
      <c r="A252" t="n">
        <v>2024</v>
      </c>
      <c r="B252" t="n">
        <v>12</v>
      </c>
      <c r="C252" t="inlineStr">
        <is>
          <t>F10</t>
        </is>
      </c>
      <c r="D252" t="n">
        <v>2.1</v>
      </c>
      <c r="E252" t="n">
        <v>2616</v>
      </c>
      <c r="F252" t="n">
        <v>289.6500000000001</v>
      </c>
      <c r="G252" t="n">
        <v/>
      </c>
      <c r="H252" t="n">
        <v>0.331</v>
      </c>
      <c r="I252" t="n">
        <v>95.87415000000003</v>
      </c>
      <c r="J252" t="n">
        <v>51593</v>
      </c>
      <c r="K252" t="n">
        <v>17063.94</v>
      </c>
    </row>
    <row r="253">
      <c r="A253" t="n">
        <v>2025</v>
      </c>
      <c r="B253" t="n">
        <v>1</v>
      </c>
      <c r="C253" t="inlineStr">
        <is>
          <t>F10</t>
        </is>
      </c>
      <c r="D253" t="n">
        <v>31.5</v>
      </c>
      <c r="E253" t="n">
        <v>8619</v>
      </c>
      <c r="F253" t="n">
        <v>580.8799999999999</v>
      </c>
      <c r="G253" t="n">
        <v/>
      </c>
      <c r="H253" t="n">
        <v>0.335</v>
      </c>
      <c r="I253" t="n">
        <v>194.5948</v>
      </c>
      <c r="J253" t="n">
        <v>61904</v>
      </c>
      <c r="K253" t="n">
        <v>20875.39</v>
      </c>
    </row>
    <row r="254">
      <c r="A254" t="n">
        <v>2025</v>
      </c>
      <c r="B254" t="n">
        <v>2</v>
      </c>
      <c r="C254" t="inlineStr">
        <is>
          <t>F10</t>
        </is>
      </c>
      <c r="D254" t="n">
        <v>92.59999999999999</v>
      </c>
      <c r="E254" t="n">
        <v>29278</v>
      </c>
      <c r="F254" t="n">
        <v>920.21</v>
      </c>
      <c r="G254" t="n">
        <v/>
      </c>
      <c r="H254" t="n">
        <v>0.334</v>
      </c>
      <c r="I254" t="n">
        <v>307.35014</v>
      </c>
      <c r="J254" t="n">
        <v>60366</v>
      </c>
      <c r="K254" t="n">
        <v>20173.7</v>
      </c>
    </row>
    <row r="255">
      <c r="A255" t="n">
        <v>2025</v>
      </c>
      <c r="B255" t="n">
        <v>3</v>
      </c>
      <c r="C255" t="inlineStr">
        <is>
          <t>F10</t>
        </is>
      </c>
      <c r="D255" t="n">
        <v>79.90000000000001</v>
      </c>
      <c r="E255" t="n">
        <v>33501</v>
      </c>
      <c r="F255" t="n">
        <v>1017.880000000001</v>
      </c>
      <c r="G255" t="n">
        <v/>
      </c>
      <c r="H255" t="n">
        <v>0.286</v>
      </c>
      <c r="I255" t="n">
        <v>291.1136800000003</v>
      </c>
      <c r="J255" t="n">
        <v>58209</v>
      </c>
      <c r="K255" t="n">
        <v>16648.58</v>
      </c>
    </row>
    <row r="256">
      <c r="A256" t="n">
        <v>2025</v>
      </c>
      <c r="B256" t="n">
        <v>4</v>
      </c>
      <c r="C256" t="inlineStr">
        <is>
          <t>F10</t>
        </is>
      </c>
      <c r="D256" t="n">
        <v>164.8</v>
      </c>
      <c r="E256" t="n">
        <v>70944</v>
      </c>
      <c r="F256" t="n">
        <v>1182.44</v>
      </c>
      <c r="G256" t="n">
        <v/>
      </c>
      <c r="H256" t="n">
        <v>0.2655</v>
      </c>
      <c r="I256" t="n">
        <v>313.93782</v>
      </c>
      <c r="J256" t="n">
        <v>41269</v>
      </c>
      <c r="K256" t="n">
        <v>10956.7</v>
      </c>
    </row>
    <row r="257">
      <c r="A257" t="n">
        <v>2025</v>
      </c>
      <c r="B257" t="n">
        <v>5</v>
      </c>
      <c r="C257" t="inlineStr">
        <is>
          <t>F10</t>
        </is>
      </c>
      <c r="D257" t="n">
        <v>52.2</v>
      </c>
      <c r="E257" t="n">
        <v>29403</v>
      </c>
      <c r="F257" t="n">
        <v>610.5299999999997</v>
      </c>
      <c r="G257" t="n">
        <v/>
      </c>
      <c r="H257" t="n">
        <v>0.2575</v>
      </c>
      <c r="I257" t="n">
        <v>157.211475</v>
      </c>
      <c r="J257" t="n">
        <v>30809</v>
      </c>
      <c r="K257" t="n">
        <v>7932.95</v>
      </c>
    </row>
    <row r="258">
      <c r="A258" t="n">
        <v>2025</v>
      </c>
      <c r="B258" t="n">
        <v>6</v>
      </c>
      <c r="C258" t="inlineStr">
        <is>
          <t>F10</t>
        </is>
      </c>
      <c r="D258" t="n">
        <v>6.5</v>
      </c>
      <c r="E258" t="n">
        <v>4800</v>
      </c>
      <c r="F258" t="n">
        <v>132.4800000000005</v>
      </c>
      <c r="G258" t="n">
        <v/>
      </c>
      <c r="H258" t="n">
        <v>0.355</v>
      </c>
      <c r="I258" t="n">
        <v>47.03040000000018</v>
      </c>
      <c r="J258" t="n">
        <v>33644</v>
      </c>
      <c r="K258" t="n">
        <v>11949.42</v>
      </c>
    </row>
    <row r="259">
      <c r="A259" t="n">
        <v>2025</v>
      </c>
      <c r="B259" t="n">
        <v>7</v>
      </c>
      <c r="C259" t="inlineStr">
        <is>
          <t>F10</t>
        </is>
      </c>
      <c r="D259" t="n">
        <v>150.1</v>
      </c>
      <c r="E259" t="n">
        <v>33092</v>
      </c>
      <c r="F259" t="n">
        <v>905.0299999999997</v>
      </c>
      <c r="G259" t="n">
        <v/>
      </c>
      <c r="H259" t="n">
        <v>0.296</v>
      </c>
      <c r="I259" t="n">
        <v>267.8888799999999</v>
      </c>
      <c r="J259" t="n">
        <v>51483</v>
      </c>
      <c r="K259" t="n">
        <v>15262.33</v>
      </c>
    </row>
    <row r="260">
      <c r="A260" t="n">
        <v>2025</v>
      </c>
      <c r="B260" t="n">
        <v>8</v>
      </c>
      <c r="C260" t="inlineStr">
        <is>
          <t>F10</t>
        </is>
      </c>
      <c r="D260" t="n">
        <v>0</v>
      </c>
      <c r="E260" t="n">
        <v>0</v>
      </c>
      <c r="F260" t="n">
        <v>8.820000000000618</v>
      </c>
      <c r="G260" t="n">
        <v/>
      </c>
      <c r="H260" t="n">
        <v>0.3268</v>
      </c>
      <c r="I260" t="n">
        <v/>
      </c>
      <c r="J260" t="n">
        <v>17650</v>
      </c>
      <c r="K260" t="n">
        <v>5768.63</v>
      </c>
    </row>
    <row r="261">
      <c r="A261" t="n">
        <v>2025</v>
      </c>
      <c r="B261" t="n">
        <v>9</v>
      </c>
      <c r="C261" t="inlineStr">
        <is>
          <t>F10</t>
        </is>
      </c>
      <c r="D261" t="n">
        <v>110.88</v>
      </c>
      <c r="E261" t="n">
        <v>11782</v>
      </c>
      <c r="F261" t="n">
        <v>553.54</v>
      </c>
      <c r="G261" t="n">
        <v/>
      </c>
      <c r="H261" t="n">
        <v>0.2732</v>
      </c>
      <c r="I261" t="n">
        <v/>
      </c>
      <c r="J261" t="n">
        <v>47214</v>
      </c>
      <c r="K261" t="n">
        <v>12897.86</v>
      </c>
    </row>
    <row r="262">
      <c r="A262" t="n">
        <v>2025</v>
      </c>
      <c r="B262" t="n">
        <v>10</v>
      </c>
      <c r="C262" t="inlineStr">
        <is>
          <t>F10</t>
        </is>
      </c>
      <c r="D262" t="n">
        <v>0</v>
      </c>
      <c r="E262" t="n">
        <v>0</v>
      </c>
      <c r="F262" t="n">
        <v>722.6000000000004</v>
      </c>
      <c r="G262" t="n">
        <v/>
      </c>
      <c r="H262" t="n">
        <v>0.2134</v>
      </c>
      <c r="I262" t="n">
        <v/>
      </c>
      <c r="J262" t="n">
        <v>47533</v>
      </c>
      <c r="K262" t="n">
        <v>13101.09</v>
      </c>
    </row>
    <row r="263">
      <c r="A263" t="n">
        <v>2025</v>
      </c>
      <c r="B263" t="n">
        <v>11</v>
      </c>
      <c r="C263" t="inlineStr">
        <is>
          <t>F10</t>
        </is>
      </c>
      <c r="D263" t="n">
        <v/>
      </c>
      <c r="E263" t="n">
        <v/>
      </c>
      <c r="F263" t="n">
        <v/>
      </c>
      <c r="G263" t="n">
        <v/>
      </c>
      <c r="H263" t="n">
        <v>0</v>
      </c>
      <c r="I263" t="n">
        <v/>
      </c>
      <c r="J263" t="n">
        <v>0</v>
      </c>
      <c r="K263" t="n">
        <v>0</v>
      </c>
    </row>
    <row r="264">
      <c r="A264" t="n">
        <v>2025</v>
      </c>
      <c r="B264" t="n">
        <v>12</v>
      </c>
      <c r="C264" t="inlineStr">
        <is>
          <t>F10</t>
        </is>
      </c>
      <c r="D264" t="n">
        <v/>
      </c>
      <c r="E264" t="n">
        <v/>
      </c>
      <c r="F264" t="n">
        <v/>
      </c>
      <c r="G264" t="n">
        <v/>
      </c>
      <c r="H264" t="n">
        <v>0</v>
      </c>
      <c r="I264" t="n">
        <v/>
      </c>
      <c r="J264" t="n">
        <v>0</v>
      </c>
      <c r="K264" t="n">
        <v>0</v>
      </c>
    </row>
    <row r="265">
      <c r="A265" t="n">
        <v>2024</v>
      </c>
      <c r="B265" t="n">
        <v>1</v>
      </c>
      <c r="C265" t="inlineStr">
        <is>
          <t>F11</t>
        </is>
      </c>
      <c r="D265" t="n">
        <v>324.79</v>
      </c>
      <c r="E265" t="n">
        <v>140670</v>
      </c>
      <c r="F265" t="n">
        <v/>
      </c>
      <c r="G265" t="n">
        <v/>
      </c>
      <c r="H265" t="n">
        <v>0.2557</v>
      </c>
      <c r="I265" t="n">
        <v/>
      </c>
      <c r="J265" t="n">
        <v>64934</v>
      </c>
      <c r="K265" t="n">
        <v>16601.39</v>
      </c>
    </row>
    <row r="266">
      <c r="A266" t="n">
        <v>2024</v>
      </c>
      <c r="B266" t="n">
        <v>2</v>
      </c>
      <c r="C266" t="inlineStr">
        <is>
          <t>F11</t>
        </is>
      </c>
      <c r="D266" t="n">
        <v>80.13</v>
      </c>
      <c r="E266" t="n">
        <v>39140</v>
      </c>
      <c r="F266" t="n">
        <v/>
      </c>
      <c r="G266" t="n">
        <v/>
      </c>
      <c r="H266" t="n">
        <v>0.2378</v>
      </c>
      <c r="I266" t="n">
        <v/>
      </c>
      <c r="J266" t="n">
        <v>71197</v>
      </c>
      <c r="K266" t="n">
        <v>16934</v>
      </c>
    </row>
    <row r="267">
      <c r="A267" t="n">
        <v>2024</v>
      </c>
      <c r="B267" t="n">
        <v>3</v>
      </c>
      <c r="C267" t="inlineStr">
        <is>
          <t>F11</t>
        </is>
      </c>
      <c r="D267" t="n">
        <v>16.14</v>
      </c>
      <c r="E267" t="n">
        <v>8600</v>
      </c>
      <c r="F267" t="n">
        <v/>
      </c>
      <c r="G267" t="n">
        <v/>
      </c>
      <c r="H267" t="n">
        <v>0.2428</v>
      </c>
      <c r="I267" t="n">
        <v/>
      </c>
      <c r="J267" t="n">
        <v>51152</v>
      </c>
      <c r="K267" t="n">
        <v>12419.74</v>
      </c>
    </row>
    <row r="268">
      <c r="A268" t="n">
        <v>2024</v>
      </c>
      <c r="B268" t="n">
        <v>4</v>
      </c>
      <c r="C268" t="inlineStr">
        <is>
          <t>F11</t>
        </is>
      </c>
      <c r="D268" t="n">
        <v>18.04</v>
      </c>
      <c r="E268" t="n">
        <v>10000</v>
      </c>
      <c r="F268" t="n">
        <v/>
      </c>
      <c r="G268" t="n">
        <v/>
      </c>
      <c r="H268" t="n">
        <v>0.2416</v>
      </c>
      <c r="I268" t="n">
        <v/>
      </c>
      <c r="J268" t="n">
        <v>45316</v>
      </c>
      <c r="K268" t="n">
        <v>10948.47</v>
      </c>
    </row>
    <row r="269">
      <c r="A269" t="n">
        <v>2024</v>
      </c>
      <c r="B269" t="n">
        <v>5</v>
      </c>
      <c r="C269" t="inlineStr">
        <is>
          <t>F11</t>
        </is>
      </c>
      <c r="D269" t="n">
        <v>113.6</v>
      </c>
      <c r="E269" t="n">
        <v>68201</v>
      </c>
      <c r="F269" t="n">
        <v/>
      </c>
      <c r="G269" t="n">
        <v/>
      </c>
      <c r="H269" t="n">
        <v>0.2507</v>
      </c>
      <c r="I269" t="n">
        <v/>
      </c>
      <c r="J269" t="n">
        <v>51330</v>
      </c>
      <c r="K269" t="n">
        <v>12868.58</v>
      </c>
    </row>
    <row r="270">
      <c r="A270" t="n">
        <v>2024</v>
      </c>
      <c r="B270" t="n">
        <v>6</v>
      </c>
      <c r="C270" t="inlineStr">
        <is>
          <t>F11</t>
        </is>
      </c>
      <c r="D270" t="n">
        <v>89.83</v>
      </c>
      <c r="E270" t="n">
        <v>45462</v>
      </c>
      <c r="F270" t="n">
        <v/>
      </c>
      <c r="G270" t="n">
        <v/>
      </c>
      <c r="H270" t="n">
        <v>0.2722</v>
      </c>
      <c r="I270" t="n">
        <v/>
      </c>
      <c r="J270" t="n">
        <v>42151</v>
      </c>
      <c r="K270" t="n">
        <v>11473.9</v>
      </c>
    </row>
    <row r="271">
      <c r="A271" t="n">
        <v>2024</v>
      </c>
      <c r="B271" t="n">
        <v>7</v>
      </c>
      <c r="C271" t="inlineStr">
        <is>
          <t>F11</t>
        </is>
      </c>
      <c r="D271" t="n">
        <v>320.98</v>
      </c>
      <c r="E271" t="n">
        <v>135608</v>
      </c>
      <c r="F271" t="n">
        <v/>
      </c>
      <c r="G271" t="n">
        <v/>
      </c>
      <c r="H271" t="n">
        <v>0.287</v>
      </c>
      <c r="I271" t="n">
        <v/>
      </c>
      <c r="J271" t="n">
        <v>67581</v>
      </c>
      <c r="K271" t="n">
        <v>19396.73</v>
      </c>
    </row>
    <row r="272">
      <c r="A272" t="n">
        <v>2024</v>
      </c>
      <c r="B272" t="n">
        <v>8</v>
      </c>
      <c r="C272" t="inlineStr">
        <is>
          <t>F11</t>
        </is>
      </c>
      <c r="D272" t="n">
        <v>138.87</v>
      </c>
      <c r="E272" t="n">
        <v>49569</v>
      </c>
      <c r="F272" t="n">
        <v/>
      </c>
      <c r="G272" t="n">
        <v/>
      </c>
      <c r="H272" t="n">
        <v>0.3047</v>
      </c>
      <c r="I272" t="n">
        <v/>
      </c>
      <c r="J272" t="n">
        <v>44796</v>
      </c>
      <c r="K272" t="n">
        <v>13651.04</v>
      </c>
    </row>
    <row r="273">
      <c r="A273" t="n">
        <v>2024</v>
      </c>
      <c r="B273" t="n">
        <v>9</v>
      </c>
      <c r="C273" t="inlineStr">
        <is>
          <t>F11</t>
        </is>
      </c>
      <c r="D273" t="n">
        <v>161.96</v>
      </c>
      <c r="E273" t="n">
        <v>58891</v>
      </c>
      <c r="F273" t="n">
        <v/>
      </c>
      <c r="G273" t="n">
        <v/>
      </c>
      <c r="H273" t="n">
        <v>0.2904</v>
      </c>
      <c r="I273" t="n">
        <v/>
      </c>
      <c r="J273" t="n">
        <v>52599</v>
      </c>
      <c r="K273" t="n">
        <v>15277.15</v>
      </c>
    </row>
    <row r="274">
      <c r="A274" t="n">
        <v>2024</v>
      </c>
      <c r="B274" t="n">
        <v>10</v>
      </c>
      <c r="C274" t="inlineStr">
        <is>
          <t>F11</t>
        </is>
      </c>
      <c r="D274" t="n">
        <v>324.95</v>
      </c>
      <c r="E274" t="n">
        <v>97270</v>
      </c>
      <c r="F274" t="n">
        <v/>
      </c>
      <c r="G274" t="n">
        <v/>
      </c>
      <c r="H274" t="n">
        <v>0.2856</v>
      </c>
      <c r="I274" t="n">
        <v/>
      </c>
      <c r="J274" t="n">
        <v>54362</v>
      </c>
      <c r="K274" t="n">
        <v>15523.99</v>
      </c>
    </row>
    <row r="275">
      <c r="A275" t="n">
        <v>2024</v>
      </c>
      <c r="B275" t="n">
        <v>11</v>
      </c>
      <c r="C275" t="inlineStr">
        <is>
          <t>F11</t>
        </is>
      </c>
      <c r="D275" t="n">
        <v>300.7</v>
      </c>
      <c r="E275" t="n">
        <v>119234</v>
      </c>
      <c r="F275" t="n">
        <v>686.8599999999999</v>
      </c>
      <c r="G275" t="n">
        <v/>
      </c>
      <c r="H275" t="n">
        <v>0.307</v>
      </c>
      <c r="I275" t="n">
        <v>210.86602</v>
      </c>
      <c r="J275" t="n">
        <v>64157</v>
      </c>
      <c r="K275" t="n">
        <v>19751.41</v>
      </c>
    </row>
    <row r="276">
      <c r="A276" t="n">
        <v>2024</v>
      </c>
      <c r="B276" t="n">
        <v>12</v>
      </c>
      <c r="C276" t="inlineStr">
        <is>
          <t>F11</t>
        </is>
      </c>
      <c r="D276" t="n">
        <v>120.3</v>
      </c>
      <c r="E276" t="n">
        <v>36466</v>
      </c>
      <c r="F276" t="n">
        <v>380.23</v>
      </c>
      <c r="G276" t="n">
        <v/>
      </c>
      <c r="H276" t="n">
        <v>0.331</v>
      </c>
      <c r="I276" t="n">
        <v>125.85613</v>
      </c>
      <c r="J276" t="n">
        <v>51593</v>
      </c>
      <c r="K276" t="n">
        <v>17063.94</v>
      </c>
    </row>
    <row r="277">
      <c r="A277" t="n">
        <v>2025</v>
      </c>
      <c r="B277" t="n">
        <v>1</v>
      </c>
      <c r="C277" t="inlineStr">
        <is>
          <t>F11</t>
        </is>
      </c>
      <c r="D277" t="n">
        <v>209.8</v>
      </c>
      <c r="E277" t="n">
        <v>62417</v>
      </c>
      <c r="F277" t="n">
        <v>485.73</v>
      </c>
      <c r="G277" t="n">
        <v/>
      </c>
      <c r="H277" t="n">
        <v>0.335</v>
      </c>
      <c r="I277" t="n">
        <v>162.71955</v>
      </c>
      <c r="J277" t="n">
        <v>61904</v>
      </c>
      <c r="K277" t="n">
        <v>20875.39</v>
      </c>
    </row>
    <row r="278">
      <c r="A278" t="n">
        <v>2025</v>
      </c>
      <c r="B278" t="n">
        <v>2</v>
      </c>
      <c r="C278" t="inlineStr">
        <is>
          <t>F11</t>
        </is>
      </c>
      <c r="D278" t="n">
        <v>277</v>
      </c>
      <c r="E278" t="n">
        <v>96598</v>
      </c>
      <c r="F278" t="n">
        <v>627.3699999999999</v>
      </c>
      <c r="G278" t="n">
        <v/>
      </c>
      <c r="H278" t="n">
        <v>0.334</v>
      </c>
      <c r="I278" t="n">
        <v>209.54158</v>
      </c>
      <c r="J278" t="n">
        <v>60366</v>
      </c>
      <c r="K278" t="n">
        <v>20173.7</v>
      </c>
    </row>
    <row r="279">
      <c r="A279" t="n">
        <v>2025</v>
      </c>
      <c r="B279" t="n">
        <v>3</v>
      </c>
      <c r="C279" t="inlineStr">
        <is>
          <t>F11</t>
        </is>
      </c>
      <c r="D279" t="n">
        <v>259.4</v>
      </c>
      <c r="E279" t="n">
        <v>83238</v>
      </c>
      <c r="F279" t="n">
        <v>650.3400000000001</v>
      </c>
      <c r="G279" t="n">
        <v/>
      </c>
      <c r="H279" t="n">
        <v>0.286</v>
      </c>
      <c r="I279" t="n">
        <v>185.99724</v>
      </c>
      <c r="J279" t="n">
        <v>58209</v>
      </c>
      <c r="K279" t="n">
        <v>16648.58</v>
      </c>
    </row>
    <row r="280">
      <c r="A280" t="n">
        <v>2025</v>
      </c>
      <c r="B280" t="n">
        <v>4</v>
      </c>
      <c r="C280" t="inlineStr">
        <is>
          <t>F11</t>
        </is>
      </c>
      <c r="D280" t="n">
        <v>243.6</v>
      </c>
      <c r="E280" t="n">
        <v>86947</v>
      </c>
      <c r="F280" t="n">
        <v>598.4299999999998</v>
      </c>
      <c r="G280" t="n">
        <v/>
      </c>
      <c r="H280" t="n">
        <v>0.2655</v>
      </c>
      <c r="I280" t="n">
        <v>158.883165</v>
      </c>
      <c r="J280" t="n">
        <v>41269</v>
      </c>
      <c r="K280" t="n">
        <v>10956.7</v>
      </c>
    </row>
    <row r="281">
      <c r="A281" t="n">
        <v>2025</v>
      </c>
      <c r="B281" t="n">
        <v>5</v>
      </c>
      <c r="C281" t="inlineStr">
        <is>
          <t>F11</t>
        </is>
      </c>
      <c r="D281" t="n">
        <v>244.8</v>
      </c>
      <c r="E281" t="n">
        <v>72060</v>
      </c>
      <c r="F281" t="n">
        <v>484.7900000000004</v>
      </c>
      <c r="G281" t="n">
        <v/>
      </c>
      <c r="H281" t="n">
        <v>0.2575</v>
      </c>
      <c r="I281" t="n">
        <v>124.8334250000001</v>
      </c>
      <c r="J281" t="n">
        <v>30809</v>
      </c>
      <c r="K281" t="n">
        <v>7932.95</v>
      </c>
    </row>
    <row r="282">
      <c r="A282" t="n">
        <v>2025</v>
      </c>
      <c r="B282" t="n">
        <v>6</v>
      </c>
      <c r="C282" t="inlineStr">
        <is>
          <t>F11</t>
        </is>
      </c>
      <c r="D282" t="n">
        <v>239.3</v>
      </c>
      <c r="E282" t="n">
        <v>83892</v>
      </c>
      <c r="F282" t="n">
        <v>550.0799999999999</v>
      </c>
      <c r="G282" t="n">
        <v/>
      </c>
      <c r="H282" t="n">
        <v>0.355</v>
      </c>
      <c r="I282" t="n">
        <v>195.2784</v>
      </c>
      <c r="J282" t="n">
        <v>33644</v>
      </c>
      <c r="K282" t="n">
        <v>11949.42</v>
      </c>
    </row>
    <row r="283">
      <c r="A283" t="n">
        <v>2025</v>
      </c>
      <c r="B283" t="n">
        <v>7</v>
      </c>
      <c r="C283" t="inlineStr">
        <is>
          <t>F11</t>
        </is>
      </c>
      <c r="D283" t="n">
        <v>335.9</v>
      </c>
      <c r="E283" t="n">
        <v>114871</v>
      </c>
      <c r="F283" t="n">
        <v>770.29</v>
      </c>
      <c r="G283" t="n">
        <v/>
      </c>
      <c r="H283" t="n">
        <v>0.296</v>
      </c>
      <c r="I283" t="n">
        <v>228.00584</v>
      </c>
      <c r="J283" t="n">
        <v>51483</v>
      </c>
      <c r="K283" t="n">
        <v>15262.33</v>
      </c>
    </row>
    <row r="284">
      <c r="A284" t="n">
        <v>2025</v>
      </c>
      <c r="B284" t="n">
        <v>8</v>
      </c>
      <c r="C284" t="inlineStr">
        <is>
          <t>F11</t>
        </is>
      </c>
      <c r="D284" t="n">
        <v>43.05</v>
      </c>
      <c r="E284" t="n">
        <v>15723</v>
      </c>
      <c r="F284" t="n">
        <v>110.5700000000006</v>
      </c>
      <c r="G284" t="n">
        <v/>
      </c>
      <c r="H284" t="n">
        <v>0.3268</v>
      </c>
      <c r="I284" t="n">
        <v/>
      </c>
      <c r="J284" t="n">
        <v>17650</v>
      </c>
      <c r="K284" t="n">
        <v>5768.63</v>
      </c>
    </row>
    <row r="285">
      <c r="A285" t="n">
        <v>2025</v>
      </c>
      <c r="B285" t="n">
        <v>9</v>
      </c>
      <c r="C285" t="inlineStr">
        <is>
          <t>F11</t>
        </is>
      </c>
      <c r="D285" t="n">
        <v>0</v>
      </c>
      <c r="E285" t="n">
        <v>0</v>
      </c>
      <c r="F285" t="n">
        <v>0</v>
      </c>
      <c r="G285" t="n">
        <v/>
      </c>
      <c r="H285" t="n">
        <v>0.2732</v>
      </c>
      <c r="I285" t="n">
        <v/>
      </c>
      <c r="J285" t="n">
        <v>47214</v>
      </c>
      <c r="K285" t="n">
        <v>12897.86</v>
      </c>
    </row>
    <row r="286">
      <c r="A286" t="n">
        <v>2025</v>
      </c>
      <c r="B286" t="n">
        <v>10</v>
      </c>
      <c r="C286" t="inlineStr">
        <is>
          <t>F11</t>
        </is>
      </c>
      <c r="D286" t="n">
        <v>0</v>
      </c>
      <c r="E286" t="n">
        <v>0</v>
      </c>
      <c r="F286" t="n">
        <v>0</v>
      </c>
      <c r="G286" t="n">
        <v/>
      </c>
      <c r="H286" t="n">
        <v>0.2134</v>
      </c>
      <c r="I286" t="n">
        <v/>
      </c>
      <c r="J286" t="n">
        <v>47533</v>
      </c>
      <c r="K286" t="n">
        <v>13101.09</v>
      </c>
    </row>
    <row r="287">
      <c r="A287" t="n">
        <v>2025</v>
      </c>
      <c r="B287" t="n">
        <v>11</v>
      </c>
      <c r="C287" t="inlineStr">
        <is>
          <t>F11</t>
        </is>
      </c>
      <c r="D287" t="n">
        <v/>
      </c>
      <c r="E287" t="n">
        <v/>
      </c>
      <c r="F287" t="n">
        <v/>
      </c>
      <c r="G287" t="n">
        <v/>
      </c>
      <c r="H287" t="n">
        <v>0</v>
      </c>
      <c r="I287" t="n">
        <v/>
      </c>
      <c r="J287" t="n">
        <v>0</v>
      </c>
      <c r="K287" t="n">
        <v>0</v>
      </c>
    </row>
    <row r="288">
      <c r="A288" t="n">
        <v>2025</v>
      </c>
      <c r="B288" t="n">
        <v>12</v>
      </c>
      <c r="C288" t="inlineStr">
        <is>
          <t>F11</t>
        </is>
      </c>
      <c r="D288" t="n">
        <v/>
      </c>
      <c r="E288" t="n">
        <v/>
      </c>
      <c r="F288" t="n">
        <v/>
      </c>
      <c r="G288" t="n">
        <v/>
      </c>
      <c r="H288" t="n">
        <v>0</v>
      </c>
      <c r="I288" t="n">
        <v/>
      </c>
      <c r="J288" t="n">
        <v>0</v>
      </c>
      <c r="K288" t="n">
        <v>0</v>
      </c>
    </row>
    <row r="289">
      <c r="A289" t="n">
        <v>2024</v>
      </c>
      <c r="B289" t="n">
        <v>1</v>
      </c>
      <c r="C289" t="inlineStr">
        <is>
          <t>ISOLA1</t>
        </is>
      </c>
      <c r="D289" t="n">
        <v>19.89</v>
      </c>
      <c r="E289" t="n">
        <v>15714</v>
      </c>
      <c r="F289" t="n">
        <v/>
      </c>
      <c r="G289" t="n">
        <v/>
      </c>
      <c r="H289" t="n">
        <v>0.2557</v>
      </c>
      <c r="I289" t="n">
        <v/>
      </c>
      <c r="J289" t="n">
        <v>64934</v>
      </c>
      <c r="K289" t="n">
        <v>16601.39</v>
      </c>
    </row>
    <row r="290">
      <c r="A290" t="n">
        <v>2024</v>
      </c>
      <c r="B290" t="n">
        <v>2</v>
      </c>
      <c r="C290" t="inlineStr">
        <is>
          <t>ISOLA1</t>
        </is>
      </c>
      <c r="D290" t="n">
        <v>14.88</v>
      </c>
      <c r="E290" t="n">
        <v>12219</v>
      </c>
      <c r="F290" t="n">
        <v/>
      </c>
      <c r="G290" t="n">
        <v/>
      </c>
      <c r="H290" t="n">
        <v>0.2378</v>
      </c>
      <c r="I290" t="n">
        <v/>
      </c>
      <c r="J290" t="n">
        <v>71197</v>
      </c>
      <c r="K290" t="n">
        <v>16934</v>
      </c>
    </row>
    <row r="291">
      <c r="A291" t="n">
        <v>2024</v>
      </c>
      <c r="B291" t="n">
        <v>3</v>
      </c>
      <c r="C291" t="inlineStr">
        <is>
          <t>ISOLA1</t>
        </is>
      </c>
      <c r="D291" t="n">
        <v>26.77</v>
      </c>
      <c r="E291" t="n">
        <v>26114</v>
      </c>
      <c r="F291" t="n">
        <v/>
      </c>
      <c r="G291" t="n">
        <v/>
      </c>
      <c r="H291" t="n">
        <v>0.2428</v>
      </c>
      <c r="I291" t="n">
        <v/>
      </c>
      <c r="J291" t="n">
        <v>51152</v>
      </c>
      <c r="K291" t="n">
        <v>12419.74</v>
      </c>
    </row>
    <row r="292">
      <c r="A292" t="n">
        <v>2024</v>
      </c>
      <c r="B292" t="n">
        <v>4</v>
      </c>
      <c r="C292" t="inlineStr">
        <is>
          <t>ISOLA1</t>
        </is>
      </c>
      <c r="D292" t="n">
        <v>4.82</v>
      </c>
      <c r="E292" t="n">
        <v>3228</v>
      </c>
      <c r="F292" t="n">
        <v/>
      </c>
      <c r="G292" t="n">
        <v/>
      </c>
      <c r="H292" t="n">
        <v>0.2416</v>
      </c>
      <c r="I292" t="n">
        <v/>
      </c>
      <c r="J292" t="n">
        <v>45316</v>
      </c>
      <c r="K292" t="n">
        <v>10948.47</v>
      </c>
    </row>
    <row r="293">
      <c r="A293" t="n">
        <v>2024</v>
      </c>
      <c r="B293" t="n">
        <v>5</v>
      </c>
      <c r="C293" t="inlineStr">
        <is>
          <t>ISOLA1</t>
        </is>
      </c>
      <c r="D293" t="n">
        <v>0</v>
      </c>
      <c r="E293" t="n">
        <v>0</v>
      </c>
      <c r="F293" t="n">
        <v/>
      </c>
      <c r="G293" t="n">
        <v/>
      </c>
      <c r="H293" t="n">
        <v>0.2507</v>
      </c>
      <c r="I293" t="n">
        <v/>
      </c>
      <c r="J293" t="n">
        <v>51330</v>
      </c>
      <c r="K293" t="n">
        <v>12868.58</v>
      </c>
    </row>
    <row r="294">
      <c r="A294" t="n">
        <v>2024</v>
      </c>
      <c r="B294" t="n">
        <v>6</v>
      </c>
      <c r="C294" t="inlineStr">
        <is>
          <t>ISOLA1</t>
        </is>
      </c>
      <c r="D294" t="n">
        <v>8.49</v>
      </c>
      <c r="E294" t="n">
        <v>4882</v>
      </c>
      <c r="F294" t="n">
        <v/>
      </c>
      <c r="G294" t="n">
        <v/>
      </c>
      <c r="H294" t="n">
        <v>0.2722</v>
      </c>
      <c r="I294" t="n">
        <v/>
      </c>
      <c r="J294" t="n">
        <v>42151</v>
      </c>
      <c r="K294" t="n">
        <v>11473.9</v>
      </c>
    </row>
    <row r="295">
      <c r="A295" t="n">
        <v>2024</v>
      </c>
      <c r="B295" t="n">
        <v>7</v>
      </c>
      <c r="C295" t="inlineStr">
        <is>
          <t>ISOLA1</t>
        </is>
      </c>
      <c r="D295" t="n">
        <v>60.69</v>
      </c>
      <c r="E295" t="n">
        <v>39984</v>
      </c>
      <c r="F295" t="n">
        <v/>
      </c>
      <c r="G295" t="n">
        <v/>
      </c>
      <c r="H295" t="n">
        <v>0.287</v>
      </c>
      <c r="I295" t="n">
        <v/>
      </c>
      <c r="J295" t="n">
        <v>67581</v>
      </c>
      <c r="K295" t="n">
        <v>19396.73</v>
      </c>
    </row>
    <row r="296">
      <c r="A296" t="n">
        <v>2024</v>
      </c>
      <c r="B296" t="n">
        <v>8</v>
      </c>
      <c r="C296" t="inlineStr">
        <is>
          <t>ISOLA1</t>
        </is>
      </c>
      <c r="D296" t="n">
        <v>43.39</v>
      </c>
      <c r="E296" t="n">
        <v>40507</v>
      </c>
      <c r="F296" t="n">
        <v/>
      </c>
      <c r="G296" t="n">
        <v/>
      </c>
      <c r="H296" t="n">
        <v>0.3047</v>
      </c>
      <c r="I296" t="n">
        <v/>
      </c>
      <c r="J296" t="n">
        <v>44796</v>
      </c>
      <c r="K296" t="n">
        <v>13651.04</v>
      </c>
    </row>
    <row r="297">
      <c r="A297" t="n">
        <v>2024</v>
      </c>
      <c r="B297" t="n">
        <v>9</v>
      </c>
      <c r="C297" t="inlineStr">
        <is>
          <t>ISOLA1</t>
        </is>
      </c>
      <c r="D297" t="n">
        <v>8.4</v>
      </c>
      <c r="E297" t="n">
        <v>8670</v>
      </c>
      <c r="F297" t="n">
        <v/>
      </c>
      <c r="G297" t="n">
        <v/>
      </c>
      <c r="H297" t="n">
        <v>0.2904</v>
      </c>
      <c r="I297" t="n">
        <v/>
      </c>
      <c r="J297" t="n">
        <v>52599</v>
      </c>
      <c r="K297" t="n">
        <v>15277.15</v>
      </c>
    </row>
    <row r="298">
      <c r="A298" t="n">
        <v>2024</v>
      </c>
      <c r="B298" t="n">
        <v>10</v>
      </c>
      <c r="C298" t="inlineStr">
        <is>
          <t>ISOLA1</t>
        </is>
      </c>
      <c r="D298" t="n">
        <v>37.13</v>
      </c>
      <c r="E298" t="n">
        <v>38444</v>
      </c>
      <c r="F298" t="n">
        <v/>
      </c>
      <c r="G298" t="n">
        <v/>
      </c>
      <c r="H298" t="n">
        <v>0.2856</v>
      </c>
      <c r="I298" t="n">
        <v/>
      </c>
      <c r="J298" t="n">
        <v>54362</v>
      </c>
      <c r="K298" t="n">
        <v>15523.99</v>
      </c>
    </row>
    <row r="299">
      <c r="A299" t="n">
        <v>2024</v>
      </c>
      <c r="B299" t="n">
        <v>11</v>
      </c>
      <c r="C299" t="inlineStr">
        <is>
          <t>ISOLA1</t>
        </is>
      </c>
      <c r="D299" t="n">
        <v>100.3</v>
      </c>
      <c r="E299" t="n">
        <v>80847</v>
      </c>
      <c r="F299" t="n">
        <v>199.43</v>
      </c>
      <c r="G299" t="n">
        <v/>
      </c>
      <c r="H299" t="n">
        <v>0.307</v>
      </c>
      <c r="I299" t="n">
        <v>61.22501</v>
      </c>
      <c r="J299" t="n">
        <v>64157</v>
      </c>
      <c r="K299" t="n">
        <v>19751.41</v>
      </c>
    </row>
    <row r="300">
      <c r="A300" t="n">
        <v>2024</v>
      </c>
      <c r="B300" t="n">
        <v>12</v>
      </c>
      <c r="C300" t="inlineStr">
        <is>
          <t>ISOLA1</t>
        </is>
      </c>
      <c r="D300" t="n">
        <v>29.1</v>
      </c>
      <c r="E300" t="n">
        <v>26098</v>
      </c>
      <c r="F300" t="n">
        <v>64.59999999999997</v>
      </c>
      <c r="G300" t="n">
        <v/>
      </c>
      <c r="H300" t="n">
        <v>0.331</v>
      </c>
      <c r="I300" t="n">
        <v>21.38259999999999</v>
      </c>
      <c r="J300" t="n">
        <v>51593</v>
      </c>
      <c r="K300" t="n">
        <v>17063.94</v>
      </c>
    </row>
    <row r="301">
      <c r="A301" t="n">
        <v>2025</v>
      </c>
      <c r="B301" t="n">
        <v>1</v>
      </c>
      <c r="C301" t="inlineStr">
        <is>
          <t>ISOLA1</t>
        </is>
      </c>
      <c r="D301" t="n">
        <v>33.6</v>
      </c>
      <c r="E301" t="n">
        <v>36485</v>
      </c>
      <c r="F301" t="n">
        <v>85.99000000000001</v>
      </c>
      <c r="G301" t="n">
        <v/>
      </c>
      <c r="H301" t="n">
        <v>0.335</v>
      </c>
      <c r="I301" t="n">
        <v>28.80665</v>
      </c>
      <c r="J301" t="n">
        <v>61904</v>
      </c>
      <c r="K301" t="n">
        <v>20875.39</v>
      </c>
    </row>
    <row r="302">
      <c r="A302" t="n">
        <v>2025</v>
      </c>
      <c r="B302" t="n">
        <v>2</v>
      </c>
      <c r="C302" t="inlineStr">
        <is>
          <t>ISOLA1</t>
        </is>
      </c>
      <c r="D302" t="n">
        <v>20.4</v>
      </c>
      <c r="E302" t="n">
        <v>15760</v>
      </c>
      <c r="F302" t="n">
        <v>42.10000000000002</v>
      </c>
      <c r="G302" t="n">
        <v/>
      </c>
      <c r="H302" t="n">
        <v>0.334</v>
      </c>
      <c r="I302" t="n">
        <v>14.06140000000001</v>
      </c>
      <c r="J302" t="n">
        <v>60366</v>
      </c>
      <c r="K302" t="n">
        <v>20173.7</v>
      </c>
    </row>
    <row r="303">
      <c r="A303" t="n">
        <v>2025</v>
      </c>
      <c r="B303" t="n">
        <v>3</v>
      </c>
      <c r="C303" t="inlineStr">
        <is>
          <t>ISOLA1</t>
        </is>
      </c>
      <c r="D303" t="n">
        <v>110.7</v>
      </c>
      <c r="E303" t="n">
        <v>86910</v>
      </c>
      <c r="F303" t="n">
        <v>112.05</v>
      </c>
      <c r="G303" t="n">
        <v/>
      </c>
      <c r="H303" t="n">
        <v>0.286</v>
      </c>
      <c r="I303" t="n">
        <v>32.0463</v>
      </c>
      <c r="J303" t="n">
        <v>58209</v>
      </c>
      <c r="K303" t="n">
        <v>16648.58</v>
      </c>
    </row>
    <row r="304">
      <c r="A304" t="n">
        <v>2025</v>
      </c>
      <c r="B304" t="n">
        <v>4</v>
      </c>
      <c r="C304" t="inlineStr">
        <is>
          <t>ISOLA1</t>
        </is>
      </c>
      <c r="D304" t="n">
        <v>105.6</v>
      </c>
      <c r="E304" t="n">
        <v>129675</v>
      </c>
      <c r="F304" t="n">
        <v>123.66</v>
      </c>
      <c r="G304" t="n">
        <v/>
      </c>
      <c r="H304" t="n">
        <v>0.2655</v>
      </c>
      <c r="I304" t="n">
        <v>32.83173</v>
      </c>
      <c r="J304" t="n">
        <v>41269</v>
      </c>
      <c r="K304" t="n">
        <v>10956.7</v>
      </c>
    </row>
    <row r="305">
      <c r="A305" t="n">
        <v>2025</v>
      </c>
      <c r="B305" t="n">
        <v>5</v>
      </c>
      <c r="C305" t="inlineStr">
        <is>
          <t>ISOLA1</t>
        </is>
      </c>
      <c r="D305" t="n">
        <v>31</v>
      </c>
      <c r="E305" t="n">
        <v>45169</v>
      </c>
      <c r="F305" t="n">
        <v>47.17999999999995</v>
      </c>
      <c r="G305" t="n">
        <v/>
      </c>
      <c r="H305" t="n">
        <v>0.2575</v>
      </c>
      <c r="I305" t="n">
        <v>12.14884999999999</v>
      </c>
      <c r="J305" t="n">
        <v>30809</v>
      </c>
      <c r="K305" t="n">
        <v>7932.95</v>
      </c>
    </row>
    <row r="306">
      <c r="A306" t="n">
        <v>2025</v>
      </c>
      <c r="B306" t="n">
        <v>6</v>
      </c>
      <c r="C306" t="inlineStr">
        <is>
          <t>ISOLA1</t>
        </is>
      </c>
      <c r="D306" t="n">
        <v>28.2</v>
      </c>
      <c r="E306" t="n">
        <v>29781</v>
      </c>
      <c r="F306" t="n">
        <v>62.42000000000007</v>
      </c>
      <c r="G306" t="n">
        <v/>
      </c>
      <c r="H306" t="n">
        <v>0.355</v>
      </c>
      <c r="I306" t="n">
        <v>22.15910000000002</v>
      </c>
      <c r="J306" t="n">
        <v>33644</v>
      </c>
      <c r="K306" t="n">
        <v>11949.42</v>
      </c>
    </row>
    <row r="307">
      <c r="A307" t="n">
        <v>2025</v>
      </c>
      <c r="B307" t="n">
        <v>7</v>
      </c>
      <c r="C307" t="inlineStr">
        <is>
          <t>ISOLA1</t>
        </is>
      </c>
      <c r="D307" t="n">
        <v>145.4</v>
      </c>
      <c r="E307" t="n">
        <v>136744</v>
      </c>
      <c r="F307" t="n">
        <v>249.2800000000001</v>
      </c>
      <c r="G307" t="n">
        <v/>
      </c>
      <c r="H307" t="n">
        <v>0.296</v>
      </c>
      <c r="I307" t="n">
        <v>73.78688000000002</v>
      </c>
      <c r="J307" t="n">
        <v>51483</v>
      </c>
      <c r="K307" t="n">
        <v>15262.33</v>
      </c>
    </row>
    <row r="308">
      <c r="A308" t="n">
        <v>2025</v>
      </c>
      <c r="B308" t="n">
        <v>8</v>
      </c>
      <c r="C308" t="inlineStr">
        <is>
          <t>ISOLA1</t>
        </is>
      </c>
      <c r="D308" t="n">
        <v>0</v>
      </c>
      <c r="E308" t="n">
        <v>0</v>
      </c>
      <c r="F308" t="n">
        <v>4.5</v>
      </c>
      <c r="G308" t="n">
        <v/>
      </c>
      <c r="H308" t="n">
        <v>0.3268</v>
      </c>
      <c r="I308" t="n">
        <v/>
      </c>
      <c r="J308" t="n">
        <v>17650</v>
      </c>
      <c r="K308" t="n">
        <v>5768.63</v>
      </c>
    </row>
    <row r="309">
      <c r="A309" t="n">
        <v>2025</v>
      </c>
      <c r="B309" t="n">
        <v>9</v>
      </c>
      <c r="C309" t="inlineStr">
        <is>
          <t>ISOLA1</t>
        </is>
      </c>
      <c r="D309" t="n">
        <v>0</v>
      </c>
      <c r="E309" t="n">
        <v>0</v>
      </c>
      <c r="F309" t="n">
        <v>3.529999999999973</v>
      </c>
      <c r="G309" t="n">
        <v/>
      </c>
      <c r="H309" t="n">
        <v>0.2732</v>
      </c>
      <c r="I309" t="n">
        <v/>
      </c>
      <c r="J309" t="n">
        <v>47214</v>
      </c>
      <c r="K309" t="n">
        <v>12897.86</v>
      </c>
    </row>
    <row r="310">
      <c r="A310" t="n">
        <v>2025</v>
      </c>
      <c r="B310" t="n">
        <v>10</v>
      </c>
      <c r="C310" t="inlineStr">
        <is>
          <t>ISOLA1</t>
        </is>
      </c>
      <c r="D310" t="n">
        <v>0</v>
      </c>
      <c r="E310" t="n">
        <v>0</v>
      </c>
      <c r="F310" t="n">
        <v>0</v>
      </c>
      <c r="G310" t="n">
        <v/>
      </c>
      <c r="H310" t="n">
        <v>0.2134</v>
      </c>
      <c r="I310" t="n">
        <v/>
      </c>
      <c r="J310" t="n">
        <v>47533</v>
      </c>
      <c r="K310" t="n">
        <v>13101.09</v>
      </c>
    </row>
    <row r="311">
      <c r="A311" t="n">
        <v>2025</v>
      </c>
      <c r="B311" t="n">
        <v>11</v>
      </c>
      <c r="C311" t="inlineStr">
        <is>
          <t>ISOLA1</t>
        </is>
      </c>
      <c r="D311" t="n">
        <v/>
      </c>
      <c r="E311" t="n">
        <v/>
      </c>
      <c r="F311" t="n">
        <v/>
      </c>
      <c r="G311" t="n">
        <v/>
      </c>
      <c r="H311" t="n">
        <v>0</v>
      </c>
      <c r="I311" t="n">
        <v/>
      </c>
      <c r="J311" t="n">
        <v>0</v>
      </c>
      <c r="K311" t="n">
        <v>0</v>
      </c>
    </row>
    <row r="312">
      <c r="A312" t="n">
        <v>2025</v>
      </c>
      <c r="B312" t="n">
        <v>12</v>
      </c>
      <c r="C312" t="inlineStr">
        <is>
          <t>ISOLA1</t>
        </is>
      </c>
      <c r="D312" t="n">
        <v/>
      </c>
      <c r="E312" t="n">
        <v/>
      </c>
      <c r="F312" t="n">
        <v/>
      </c>
      <c r="G312" t="n">
        <v/>
      </c>
      <c r="H312" t="n">
        <v>0</v>
      </c>
      <c r="I312" t="n">
        <v/>
      </c>
      <c r="J312" t="n">
        <v>0</v>
      </c>
      <c r="K312" t="n">
        <v>0</v>
      </c>
    </row>
    <row r="313">
      <c r="A313" t="n">
        <v>2024</v>
      </c>
      <c r="B313" t="n">
        <v>1</v>
      </c>
      <c r="C313" t="inlineStr">
        <is>
          <t>ISOLA5</t>
        </is>
      </c>
      <c r="D313" t="n">
        <v>0</v>
      </c>
      <c r="E313" t="n">
        <v>0</v>
      </c>
      <c r="F313" t="n">
        <v/>
      </c>
      <c r="G313" t="n">
        <v/>
      </c>
      <c r="H313" t="n">
        <v>0.2557</v>
      </c>
      <c r="I313" t="n">
        <v/>
      </c>
      <c r="J313" t="n">
        <v>64934</v>
      </c>
      <c r="K313" t="n">
        <v>16601.39</v>
      </c>
    </row>
    <row r="314">
      <c r="A314" t="n">
        <v>2024</v>
      </c>
      <c r="B314" t="n">
        <v>2</v>
      </c>
      <c r="C314" t="inlineStr">
        <is>
          <t>ISOLA5</t>
        </is>
      </c>
      <c r="D314" t="n">
        <v>0</v>
      </c>
      <c r="E314" t="n">
        <v>0</v>
      </c>
      <c r="F314" t="n">
        <v/>
      </c>
      <c r="G314" t="n">
        <v/>
      </c>
      <c r="H314" t="n">
        <v>0.2378</v>
      </c>
      <c r="I314" t="n">
        <v/>
      </c>
      <c r="J314" t="n">
        <v>71197</v>
      </c>
      <c r="K314" t="n">
        <v>16934</v>
      </c>
    </row>
    <row r="315">
      <c r="A315" t="n">
        <v>2024</v>
      </c>
      <c r="B315" t="n">
        <v>3</v>
      </c>
      <c r="C315" t="inlineStr">
        <is>
          <t>ISOLA5</t>
        </is>
      </c>
      <c r="D315" t="n">
        <v>0</v>
      </c>
      <c r="E315" t="n">
        <v>0</v>
      </c>
      <c r="F315" t="n">
        <v/>
      </c>
      <c r="G315" t="n">
        <v/>
      </c>
      <c r="H315" t="n">
        <v>0.2428</v>
      </c>
      <c r="I315" t="n">
        <v/>
      </c>
      <c r="J315" t="n">
        <v>51152</v>
      </c>
      <c r="K315" t="n">
        <v>12419.74</v>
      </c>
    </row>
    <row r="316">
      <c r="A316" t="n">
        <v>2024</v>
      </c>
      <c r="B316" t="n">
        <v>4</v>
      </c>
      <c r="C316" t="inlineStr">
        <is>
          <t>ISOLA5</t>
        </is>
      </c>
      <c r="D316" t="n">
        <v>0</v>
      </c>
      <c r="E316" t="n">
        <v>0</v>
      </c>
      <c r="F316" t="n">
        <v/>
      </c>
      <c r="G316" t="n">
        <v/>
      </c>
      <c r="H316" t="n">
        <v>0.2416</v>
      </c>
      <c r="I316" t="n">
        <v/>
      </c>
      <c r="J316" t="n">
        <v>45316</v>
      </c>
      <c r="K316" t="n">
        <v>10948.47</v>
      </c>
    </row>
    <row r="317">
      <c r="A317" t="n">
        <v>2024</v>
      </c>
      <c r="B317" t="n">
        <v>5</v>
      </c>
      <c r="C317" t="inlineStr">
        <is>
          <t>ISOLA5</t>
        </is>
      </c>
      <c r="D317" t="n">
        <v>0</v>
      </c>
      <c r="E317" t="n">
        <v>700</v>
      </c>
      <c r="F317" t="n">
        <v/>
      </c>
      <c r="G317" t="n">
        <v/>
      </c>
      <c r="H317" t="n">
        <v>0.2507</v>
      </c>
      <c r="I317" t="n">
        <v/>
      </c>
      <c r="J317" t="n">
        <v>51330</v>
      </c>
      <c r="K317" t="n">
        <v>12868.58</v>
      </c>
    </row>
    <row r="318">
      <c r="A318" t="n">
        <v>2024</v>
      </c>
      <c r="B318" t="n">
        <v>6</v>
      </c>
      <c r="C318" t="inlineStr">
        <is>
          <t>ISOLA5</t>
        </is>
      </c>
      <c r="D318" t="n">
        <v>0</v>
      </c>
      <c r="E318" t="n">
        <v>0</v>
      </c>
      <c r="F318" t="n">
        <v/>
      </c>
      <c r="G318" t="n">
        <v/>
      </c>
      <c r="H318" t="n">
        <v>0.2722</v>
      </c>
      <c r="I318" t="n">
        <v/>
      </c>
      <c r="J318" t="n">
        <v>42151</v>
      </c>
      <c r="K318" t="n">
        <v>11473.9</v>
      </c>
    </row>
    <row r="319">
      <c r="A319" t="n">
        <v>2024</v>
      </c>
      <c r="B319" t="n">
        <v>7</v>
      </c>
      <c r="C319" t="inlineStr">
        <is>
          <t>ISOLA5</t>
        </is>
      </c>
      <c r="D319" t="n">
        <v>0</v>
      </c>
      <c r="E319" t="n">
        <v>0</v>
      </c>
      <c r="F319" t="n">
        <v/>
      </c>
      <c r="G319" t="n">
        <v/>
      </c>
      <c r="H319" t="n">
        <v>0.287</v>
      </c>
      <c r="I319" t="n">
        <v/>
      </c>
      <c r="J319" t="n">
        <v>67581</v>
      </c>
      <c r="K319" t="n">
        <v>19396.73</v>
      </c>
    </row>
    <row r="320">
      <c r="A320" t="n">
        <v>2024</v>
      </c>
      <c r="B320" t="n">
        <v>8</v>
      </c>
      <c r="C320" t="inlineStr">
        <is>
          <t>ISOLA5</t>
        </is>
      </c>
      <c r="D320" t="n">
        <v>0</v>
      </c>
      <c r="E320" t="n">
        <v>0</v>
      </c>
      <c r="F320" t="n">
        <v/>
      </c>
      <c r="G320" t="n">
        <v/>
      </c>
      <c r="H320" t="n">
        <v>0.3047</v>
      </c>
      <c r="I320" t="n">
        <v/>
      </c>
      <c r="J320" t="n">
        <v>44796</v>
      </c>
      <c r="K320" t="n">
        <v>13651.04</v>
      </c>
    </row>
    <row r="321">
      <c r="A321" t="n">
        <v>2024</v>
      </c>
      <c r="B321" t="n">
        <v>9</v>
      </c>
      <c r="C321" t="inlineStr">
        <is>
          <t>ISOLA5</t>
        </is>
      </c>
      <c r="D321" t="n">
        <v>0</v>
      </c>
      <c r="E321" t="n">
        <v>500</v>
      </c>
      <c r="F321" t="n">
        <v/>
      </c>
      <c r="G321" t="n">
        <v/>
      </c>
      <c r="H321" t="n">
        <v>0.2904</v>
      </c>
      <c r="I321" t="n">
        <v/>
      </c>
      <c r="J321" t="n">
        <v>52599</v>
      </c>
      <c r="K321" t="n">
        <v>15277.15</v>
      </c>
    </row>
    <row r="322">
      <c r="A322" t="n">
        <v>2024</v>
      </c>
      <c r="B322" t="n">
        <v>10</v>
      </c>
      <c r="C322" t="inlineStr">
        <is>
          <t>ISOLA5</t>
        </is>
      </c>
      <c r="D322" t="n">
        <v>0</v>
      </c>
      <c r="E322" t="n">
        <v>0</v>
      </c>
      <c r="F322" t="n">
        <v/>
      </c>
      <c r="G322" t="n">
        <v/>
      </c>
      <c r="H322" t="n">
        <v>0.2856</v>
      </c>
      <c r="I322" t="n">
        <v/>
      </c>
      <c r="J322" t="n">
        <v>54362</v>
      </c>
      <c r="K322" t="n">
        <v>15523.99</v>
      </c>
    </row>
    <row r="323">
      <c r="A323" t="n">
        <v>2024</v>
      </c>
      <c r="B323" t="n">
        <v>11</v>
      </c>
      <c r="C323" t="inlineStr">
        <is>
          <t>ISOLA5</t>
        </is>
      </c>
      <c r="D323" t="n">
        <v>0</v>
      </c>
      <c r="E323" t="n">
        <v>264</v>
      </c>
      <c r="F323" t="n">
        <v/>
      </c>
      <c r="G323" t="n">
        <v/>
      </c>
      <c r="H323" t="n">
        <v>0.307</v>
      </c>
      <c r="I323" t="n">
        <v>0</v>
      </c>
      <c r="J323" t="n">
        <v>64157</v>
      </c>
      <c r="K323" t="n">
        <v>19751.41</v>
      </c>
    </row>
    <row r="324">
      <c r="A324" t="n">
        <v>2024</v>
      </c>
      <c r="B324" t="n">
        <v>12</v>
      </c>
      <c r="C324" t="inlineStr">
        <is>
          <t>ISOLA5</t>
        </is>
      </c>
      <c r="D324" t="n">
        <v>0</v>
      </c>
      <c r="E324" t="n">
        <v>0</v>
      </c>
      <c r="F324" t="n">
        <v/>
      </c>
      <c r="G324" t="n">
        <v/>
      </c>
      <c r="H324" t="n">
        <v>0.331</v>
      </c>
      <c r="I324" t="n">
        <v>0</v>
      </c>
      <c r="J324" t="n">
        <v>51593</v>
      </c>
      <c r="K324" t="n">
        <v>17063.94</v>
      </c>
    </row>
    <row r="325">
      <c r="A325" t="n">
        <v>2025</v>
      </c>
      <c r="B325" t="n">
        <v>1</v>
      </c>
      <c r="C325" t="inlineStr">
        <is>
          <t>ISOLA5</t>
        </is>
      </c>
      <c r="D325" t="n">
        <v>0</v>
      </c>
      <c r="E325" t="n">
        <v>0</v>
      </c>
      <c r="F325" t="n">
        <v/>
      </c>
      <c r="G325" t="n">
        <v/>
      </c>
      <c r="H325" t="n">
        <v>0.335</v>
      </c>
      <c r="I325" t="n">
        <v>0</v>
      </c>
      <c r="J325" t="n">
        <v>61904</v>
      </c>
      <c r="K325" t="n">
        <v>20875.39</v>
      </c>
    </row>
    <row r="326">
      <c r="A326" t="n">
        <v>2025</v>
      </c>
      <c r="B326" t="n">
        <v>2</v>
      </c>
      <c r="C326" t="inlineStr">
        <is>
          <t>ISOLA5</t>
        </is>
      </c>
      <c r="D326" t="n">
        <v>0</v>
      </c>
      <c r="E326" t="n">
        <v>0</v>
      </c>
      <c r="F326" t="n">
        <v/>
      </c>
      <c r="G326" t="n">
        <v/>
      </c>
      <c r="H326" t="n">
        <v>0.334</v>
      </c>
      <c r="I326" t="n">
        <v>0</v>
      </c>
      <c r="J326" t="n">
        <v>60366</v>
      </c>
      <c r="K326" t="n">
        <v>20173.7</v>
      </c>
    </row>
    <row r="327">
      <c r="A327" t="n">
        <v>2025</v>
      </c>
      <c r="B327" t="n">
        <v>3</v>
      </c>
      <c r="C327" t="inlineStr">
        <is>
          <t>ISOLA5</t>
        </is>
      </c>
      <c r="D327" t="n">
        <v>0</v>
      </c>
      <c r="E327" t="n">
        <v>0</v>
      </c>
      <c r="F327" t="n">
        <v/>
      </c>
      <c r="G327" t="n">
        <v/>
      </c>
      <c r="H327" t="n">
        <v>0.286</v>
      </c>
      <c r="I327" t="n">
        <v>0</v>
      </c>
      <c r="J327" t="n">
        <v>58209</v>
      </c>
      <c r="K327" t="n">
        <v>16648.58</v>
      </c>
    </row>
    <row r="328">
      <c r="A328" t="n">
        <v>2025</v>
      </c>
      <c r="B328" t="n">
        <v>4</v>
      </c>
      <c r="C328" t="inlineStr">
        <is>
          <t>ISOLA5</t>
        </is>
      </c>
      <c r="D328" t="n">
        <v>0</v>
      </c>
      <c r="E328" t="n">
        <v>0</v>
      </c>
      <c r="F328" t="n">
        <v/>
      </c>
      <c r="G328" t="n">
        <v/>
      </c>
      <c r="H328" t="n">
        <v>0.2655</v>
      </c>
      <c r="I328" t="n">
        <v>0</v>
      </c>
      <c r="J328" t="n">
        <v>41269</v>
      </c>
      <c r="K328" t="n">
        <v>10956.7</v>
      </c>
    </row>
    <row r="329">
      <c r="A329" t="n">
        <v>2025</v>
      </c>
      <c r="B329" t="n">
        <v>5</v>
      </c>
      <c r="C329" t="inlineStr">
        <is>
          <t>ISOLA5</t>
        </is>
      </c>
      <c r="D329" t="n">
        <v>0</v>
      </c>
      <c r="E329" t="n">
        <v>0</v>
      </c>
      <c r="F329" t="n">
        <v/>
      </c>
      <c r="G329" t="n">
        <v/>
      </c>
      <c r="H329" t="n">
        <v>0.2575</v>
      </c>
      <c r="I329" t="n">
        <v>0</v>
      </c>
      <c r="J329" t="n">
        <v>30809</v>
      </c>
      <c r="K329" t="n">
        <v>7932.95</v>
      </c>
    </row>
    <row r="330">
      <c r="A330" t="n">
        <v>2025</v>
      </c>
      <c r="B330" t="n">
        <v>6</v>
      </c>
      <c r="C330" t="inlineStr">
        <is>
          <t>ISOLA5</t>
        </is>
      </c>
      <c r="D330" t="n">
        <v>0</v>
      </c>
      <c r="E330" t="n">
        <v>0</v>
      </c>
      <c r="F330" t="n">
        <v/>
      </c>
      <c r="G330" t="n">
        <v/>
      </c>
      <c r="H330" t="n">
        <v>0.355</v>
      </c>
      <c r="I330" t="n">
        <v>0</v>
      </c>
      <c r="J330" t="n">
        <v>33644</v>
      </c>
      <c r="K330" t="n">
        <v>11949.42</v>
      </c>
    </row>
    <row r="331">
      <c r="A331" t="n">
        <v>2025</v>
      </c>
      <c r="B331" t="n">
        <v>7</v>
      </c>
      <c r="C331" t="inlineStr">
        <is>
          <t>ISOLA5</t>
        </is>
      </c>
      <c r="D331" t="n">
        <v>0</v>
      </c>
      <c r="E331" t="n">
        <v>0</v>
      </c>
      <c r="F331" t="n">
        <v/>
      </c>
      <c r="G331" t="n">
        <v/>
      </c>
      <c r="H331" t="n">
        <v>0.296</v>
      </c>
      <c r="I331" t="n">
        <v>0</v>
      </c>
      <c r="J331" t="n">
        <v>51483</v>
      </c>
      <c r="K331" t="n">
        <v>15262.33</v>
      </c>
    </row>
    <row r="332">
      <c r="A332" t="n">
        <v>2025</v>
      </c>
      <c r="B332" t="n">
        <v>8</v>
      </c>
      <c r="C332" t="inlineStr">
        <is>
          <t>ISOLA5</t>
        </is>
      </c>
      <c r="D332" t="n">
        <v>0</v>
      </c>
      <c r="E332" t="n">
        <v>0</v>
      </c>
      <c r="F332" t="n">
        <v/>
      </c>
      <c r="G332" t="n">
        <v/>
      </c>
      <c r="H332" t="n">
        <v>0.3268</v>
      </c>
      <c r="I332" t="n">
        <v/>
      </c>
      <c r="J332" t="n">
        <v>17650</v>
      </c>
      <c r="K332" t="n">
        <v>5768.63</v>
      </c>
    </row>
    <row r="333">
      <c r="A333" t="n">
        <v>2025</v>
      </c>
      <c r="B333" t="n">
        <v>9</v>
      </c>
      <c r="C333" t="inlineStr">
        <is>
          <t>ISOLA5</t>
        </is>
      </c>
      <c r="D333" t="n">
        <v>0</v>
      </c>
      <c r="E333" t="n">
        <v>0</v>
      </c>
      <c r="F333" t="n">
        <v/>
      </c>
      <c r="G333" t="n">
        <v/>
      </c>
      <c r="H333" t="n">
        <v>0.2732</v>
      </c>
      <c r="I333" t="n">
        <v/>
      </c>
      <c r="J333" t="n">
        <v>47214</v>
      </c>
      <c r="K333" t="n">
        <v>12897.86</v>
      </c>
    </row>
    <row r="334">
      <c r="A334" t="n">
        <v>2025</v>
      </c>
      <c r="B334" t="n">
        <v>10</v>
      </c>
      <c r="C334" t="inlineStr">
        <is>
          <t>ISOLA5</t>
        </is>
      </c>
      <c r="D334" t="n">
        <v>0</v>
      </c>
      <c r="E334" t="n">
        <v>0</v>
      </c>
      <c r="F334" t="n">
        <v/>
      </c>
      <c r="G334" t="n">
        <v/>
      </c>
      <c r="H334" t="n">
        <v>0.2134</v>
      </c>
      <c r="I334" t="n">
        <v/>
      </c>
      <c r="J334" t="n">
        <v>47533</v>
      </c>
      <c r="K334" t="n">
        <v>13101.09</v>
      </c>
    </row>
    <row r="335">
      <c r="A335" t="n">
        <v>2025</v>
      </c>
      <c r="B335" t="n">
        <v>11</v>
      </c>
      <c r="C335" t="inlineStr">
        <is>
          <t>ISOLA5</t>
        </is>
      </c>
      <c r="D335" t="n">
        <v/>
      </c>
      <c r="E335" t="n">
        <v/>
      </c>
      <c r="F335" t="n">
        <v/>
      </c>
      <c r="G335" t="n">
        <v/>
      </c>
      <c r="H335" t="n">
        <v>0</v>
      </c>
      <c r="I335" t="n">
        <v/>
      </c>
      <c r="J335" t="n">
        <v>0</v>
      </c>
      <c r="K335" t="n">
        <v>0</v>
      </c>
    </row>
    <row r="336">
      <c r="A336" t="n">
        <v>2025</v>
      </c>
      <c r="B336" t="n">
        <v>12</v>
      </c>
      <c r="C336" t="inlineStr">
        <is>
          <t>ISOLA5</t>
        </is>
      </c>
      <c r="D336" t="n">
        <v/>
      </c>
      <c r="E336" t="n">
        <v/>
      </c>
      <c r="F336" t="n">
        <v/>
      </c>
      <c r="G336" t="n">
        <v/>
      </c>
      <c r="H336" t="n">
        <v>0</v>
      </c>
      <c r="I336" t="n">
        <v/>
      </c>
      <c r="J336" t="n">
        <v>0</v>
      </c>
      <c r="K336" t="n">
        <v>0</v>
      </c>
    </row>
    <row r="337">
      <c r="A337" t="n">
        <v>2024</v>
      </c>
      <c r="B337" t="n">
        <v>1</v>
      </c>
      <c r="C337" t="inlineStr">
        <is>
          <t>M1030</t>
        </is>
      </c>
      <c r="D337" t="n">
        <v>55.1</v>
      </c>
      <c r="E337" t="n">
        <v>45289</v>
      </c>
      <c r="F337" t="n">
        <v/>
      </c>
      <c r="G337" t="n">
        <v/>
      </c>
      <c r="H337" t="n">
        <v>0.2557</v>
      </c>
      <c r="I337" t="n">
        <v/>
      </c>
      <c r="J337" t="n">
        <v>64934</v>
      </c>
      <c r="K337" t="n">
        <v>16601.39</v>
      </c>
    </row>
    <row r="338">
      <c r="A338" t="n">
        <v>2024</v>
      </c>
      <c r="B338" t="n">
        <v>2</v>
      </c>
      <c r="C338" t="inlineStr">
        <is>
          <t>M1030</t>
        </is>
      </c>
      <c r="D338" t="n">
        <v>12.43</v>
      </c>
      <c r="E338" t="n">
        <v>10870</v>
      </c>
      <c r="F338" t="n">
        <v/>
      </c>
      <c r="G338" t="n">
        <v/>
      </c>
      <c r="H338" t="n">
        <v>0.2378</v>
      </c>
      <c r="I338" t="n">
        <v/>
      </c>
      <c r="J338" t="n">
        <v>71197</v>
      </c>
      <c r="K338" t="n">
        <v>16934</v>
      </c>
    </row>
    <row r="339">
      <c r="A339" t="n">
        <v>2024</v>
      </c>
      <c r="B339" t="n">
        <v>3</v>
      </c>
      <c r="C339" t="inlineStr">
        <is>
          <t>M1030</t>
        </is>
      </c>
      <c r="D339" t="n">
        <v>52.89</v>
      </c>
      <c r="E339" t="n">
        <v>50936</v>
      </c>
      <c r="F339" t="n">
        <v/>
      </c>
      <c r="G339" t="n">
        <v/>
      </c>
      <c r="H339" t="n">
        <v>0.2428</v>
      </c>
      <c r="I339" t="n">
        <v/>
      </c>
      <c r="J339" t="n">
        <v>51152</v>
      </c>
      <c r="K339" t="n">
        <v>12419.74</v>
      </c>
    </row>
    <row r="340">
      <c r="A340" t="n">
        <v>2024</v>
      </c>
      <c r="B340" t="n">
        <v>4</v>
      </c>
      <c r="C340" t="inlineStr">
        <is>
          <t>M1030</t>
        </is>
      </c>
      <c r="D340" t="n">
        <v>53.8</v>
      </c>
      <c r="E340" t="n">
        <v>62133</v>
      </c>
      <c r="F340" t="n">
        <v/>
      </c>
      <c r="G340" t="n">
        <v/>
      </c>
      <c r="H340" t="n">
        <v>0.2416</v>
      </c>
      <c r="I340" t="n">
        <v/>
      </c>
      <c r="J340" t="n">
        <v>45316</v>
      </c>
      <c r="K340" t="n">
        <v>10948.47</v>
      </c>
    </row>
    <row r="341">
      <c r="A341" t="n">
        <v>2024</v>
      </c>
      <c r="B341" t="n">
        <v>5</v>
      </c>
      <c r="C341" t="inlineStr">
        <is>
          <t>M1030</t>
        </is>
      </c>
      <c r="D341" t="n">
        <v>71.44</v>
      </c>
      <c r="E341" t="n">
        <v>78378</v>
      </c>
      <c r="F341" t="n">
        <v/>
      </c>
      <c r="G341" t="n">
        <v/>
      </c>
      <c r="H341" t="n">
        <v>0.2507</v>
      </c>
      <c r="I341" t="n">
        <v/>
      </c>
      <c r="J341" t="n">
        <v>51330</v>
      </c>
      <c r="K341" t="n">
        <v>12868.58</v>
      </c>
    </row>
    <row r="342">
      <c r="A342" t="n">
        <v>2024</v>
      </c>
      <c r="B342" t="n">
        <v>6</v>
      </c>
      <c r="C342" t="inlineStr">
        <is>
          <t>M1030</t>
        </is>
      </c>
      <c r="D342" t="n">
        <v>103.25</v>
      </c>
      <c r="E342" t="n">
        <v>134713</v>
      </c>
      <c r="F342" t="n">
        <v/>
      </c>
      <c r="G342" t="n">
        <v/>
      </c>
      <c r="H342" t="n">
        <v>0.2722</v>
      </c>
      <c r="I342" t="n">
        <v/>
      </c>
      <c r="J342" t="n">
        <v>42151</v>
      </c>
      <c r="K342" t="n">
        <v>11473.9</v>
      </c>
    </row>
    <row r="343">
      <c r="A343" t="n">
        <v>2024</v>
      </c>
      <c r="B343" t="n">
        <v>7</v>
      </c>
      <c r="C343" t="inlineStr">
        <is>
          <t>M1030</t>
        </is>
      </c>
      <c r="D343" t="n">
        <v>127.09</v>
      </c>
      <c r="E343" t="n">
        <v>110641</v>
      </c>
      <c r="F343" t="n">
        <v/>
      </c>
      <c r="G343" t="n">
        <v/>
      </c>
      <c r="H343" t="n">
        <v>0.287</v>
      </c>
      <c r="I343" t="n">
        <v/>
      </c>
      <c r="J343" t="n">
        <v>67581</v>
      </c>
      <c r="K343" t="n">
        <v>19396.73</v>
      </c>
    </row>
    <row r="344">
      <c r="A344" t="n">
        <v>2024</v>
      </c>
      <c r="B344" t="n">
        <v>8</v>
      </c>
      <c r="C344" t="inlineStr">
        <is>
          <t>M1030</t>
        </is>
      </c>
      <c r="D344" t="n">
        <v>33.31</v>
      </c>
      <c r="E344" t="n">
        <v>42210</v>
      </c>
      <c r="F344" t="n">
        <v/>
      </c>
      <c r="G344" t="n">
        <v/>
      </c>
      <c r="H344" t="n">
        <v>0.3047</v>
      </c>
      <c r="I344" t="n">
        <v/>
      </c>
      <c r="J344" t="n">
        <v>44796</v>
      </c>
      <c r="K344" t="n">
        <v>13651.04</v>
      </c>
    </row>
    <row r="345">
      <c r="A345" t="n">
        <v>2024</v>
      </c>
      <c r="B345" t="n">
        <v>9</v>
      </c>
      <c r="C345" t="inlineStr">
        <is>
          <t>M1030</t>
        </is>
      </c>
      <c r="D345" t="n">
        <v>71.43000000000001</v>
      </c>
      <c r="E345" t="n">
        <v>74797</v>
      </c>
      <c r="F345" t="n">
        <v/>
      </c>
      <c r="G345" t="n">
        <v/>
      </c>
      <c r="H345" t="n">
        <v>0.2904</v>
      </c>
      <c r="I345" t="n">
        <v/>
      </c>
      <c r="J345" t="n">
        <v>52599</v>
      </c>
      <c r="K345" t="n">
        <v>15277.15</v>
      </c>
    </row>
    <row r="346">
      <c r="A346" t="n">
        <v>2024</v>
      </c>
      <c r="B346" t="n">
        <v>10</v>
      </c>
      <c r="C346" t="inlineStr">
        <is>
          <t>M1030</t>
        </is>
      </c>
      <c r="D346" t="n">
        <v>128.34</v>
      </c>
      <c r="E346" t="n">
        <v>146262</v>
      </c>
      <c r="F346" t="n">
        <v/>
      </c>
      <c r="G346" t="n">
        <v/>
      </c>
      <c r="H346" t="n">
        <v>0.2856</v>
      </c>
      <c r="I346" t="n">
        <v/>
      </c>
      <c r="J346" t="n">
        <v>54362</v>
      </c>
      <c r="K346" t="n">
        <v>15523.99</v>
      </c>
    </row>
    <row r="347">
      <c r="A347" t="n">
        <v>2024</v>
      </c>
      <c r="B347" t="n">
        <v>11</v>
      </c>
      <c r="C347" t="inlineStr">
        <is>
          <t>M1030</t>
        </is>
      </c>
      <c r="D347" t="n">
        <v>112.6</v>
      </c>
      <c r="E347" t="n">
        <v>151631</v>
      </c>
      <c r="F347" t="n">
        <v>1682.52</v>
      </c>
      <c r="G347" t="n">
        <v/>
      </c>
      <c r="H347" t="n">
        <v>0.307</v>
      </c>
      <c r="I347" t="n">
        <v>516.53364</v>
      </c>
      <c r="J347" t="n">
        <v>64157</v>
      </c>
      <c r="K347" t="n">
        <v>19751.41</v>
      </c>
    </row>
    <row r="348">
      <c r="A348" t="n">
        <v>2024</v>
      </c>
      <c r="B348" t="n">
        <v>12</v>
      </c>
      <c r="C348" t="inlineStr">
        <is>
          <t>M1030</t>
        </is>
      </c>
      <c r="D348" t="n">
        <v>48.2</v>
      </c>
      <c r="E348" t="n">
        <v>62172</v>
      </c>
      <c r="F348" t="n">
        <v>889.2400000000002</v>
      </c>
      <c r="G348" t="n">
        <v/>
      </c>
      <c r="H348" t="n">
        <v>0.331</v>
      </c>
      <c r="I348" t="n">
        <v>294.3384400000001</v>
      </c>
      <c r="J348" t="n">
        <v>51593</v>
      </c>
      <c r="K348" t="n">
        <v>17063.94</v>
      </c>
    </row>
    <row r="349">
      <c r="A349" t="n">
        <v>2025</v>
      </c>
      <c r="B349" t="n">
        <v>1</v>
      </c>
      <c r="C349" t="inlineStr">
        <is>
          <t>M1030</t>
        </is>
      </c>
      <c r="D349" t="n">
        <v>92.59999999999999</v>
      </c>
      <c r="E349" t="n">
        <v>122346</v>
      </c>
      <c r="F349" t="n">
        <v>917.4900000000002</v>
      </c>
      <c r="G349" t="n">
        <v/>
      </c>
      <c r="H349" t="n">
        <v>0.335</v>
      </c>
      <c r="I349" t="n">
        <v>307.3591500000001</v>
      </c>
      <c r="J349" t="n">
        <v>61904</v>
      </c>
      <c r="K349" t="n">
        <v>20875.39</v>
      </c>
    </row>
    <row r="350">
      <c r="A350" t="n">
        <v>2025</v>
      </c>
      <c r="B350" t="n">
        <v>2</v>
      </c>
      <c r="C350" t="inlineStr">
        <is>
          <t>M1030</t>
        </is>
      </c>
      <c r="D350" t="n">
        <v>67.7</v>
      </c>
      <c r="E350" t="n">
        <v>80711</v>
      </c>
      <c r="F350" t="n">
        <v>810.1000000000004</v>
      </c>
      <c r="G350" t="n">
        <v/>
      </c>
      <c r="H350" t="n">
        <v>0.334</v>
      </c>
      <c r="I350" t="n">
        <v>270.5734000000002</v>
      </c>
      <c r="J350" t="n">
        <v>60366</v>
      </c>
      <c r="K350" t="n">
        <v>20173.7</v>
      </c>
    </row>
    <row r="351">
      <c r="A351" t="n">
        <v>2025</v>
      </c>
      <c r="B351" t="n">
        <v>3</v>
      </c>
      <c r="C351" t="inlineStr">
        <is>
          <t>M1030</t>
        </is>
      </c>
      <c r="D351" t="n">
        <v>83.2</v>
      </c>
      <c r="E351" t="n">
        <v>99845</v>
      </c>
      <c r="F351" t="n">
        <v>1276.28</v>
      </c>
      <c r="G351" t="n">
        <v/>
      </c>
      <c r="H351" t="n">
        <v>0.286</v>
      </c>
      <c r="I351" t="n">
        <v>365.01608</v>
      </c>
      <c r="J351" t="n">
        <v>58209</v>
      </c>
      <c r="K351" t="n">
        <v>16648.58</v>
      </c>
    </row>
    <row r="352">
      <c r="A352" t="n">
        <v>2025</v>
      </c>
      <c r="B352" t="n">
        <v>4</v>
      </c>
      <c r="C352" t="inlineStr">
        <is>
          <t>M1030</t>
        </is>
      </c>
      <c r="D352" t="n">
        <v>135.5</v>
      </c>
      <c r="E352" t="n">
        <v>72022</v>
      </c>
      <c r="F352" t="n">
        <v>1183.17</v>
      </c>
      <c r="G352" t="n">
        <v/>
      </c>
      <c r="H352" t="n">
        <v>0.2655</v>
      </c>
      <c r="I352" t="n">
        <v>314.131635</v>
      </c>
      <c r="J352" t="n">
        <v>41269</v>
      </c>
      <c r="K352" t="n">
        <v>10956.7</v>
      </c>
    </row>
    <row r="353">
      <c r="A353" t="n">
        <v>2025</v>
      </c>
      <c r="B353" t="n">
        <v>5</v>
      </c>
      <c r="C353" t="inlineStr">
        <is>
          <t>M1030</t>
        </is>
      </c>
      <c r="D353" t="n">
        <v>38.5</v>
      </c>
      <c r="E353" t="n">
        <v>41672</v>
      </c>
      <c r="F353" t="n">
        <v>668.7000000000007</v>
      </c>
      <c r="G353" t="n">
        <v/>
      </c>
      <c r="H353" t="n">
        <v>0.2575</v>
      </c>
      <c r="I353" t="n">
        <v>172.1902500000002</v>
      </c>
      <c r="J353" t="n">
        <v>30809</v>
      </c>
      <c r="K353" t="n">
        <v>7932.95</v>
      </c>
    </row>
    <row r="354">
      <c r="A354" t="n">
        <v>2025</v>
      </c>
      <c r="B354" t="n">
        <v>6</v>
      </c>
      <c r="C354" t="inlineStr">
        <is>
          <t>M1030</t>
        </is>
      </c>
      <c r="D354" t="n">
        <v>45.6</v>
      </c>
      <c r="E354" t="n">
        <v>48181</v>
      </c>
      <c r="F354" t="n">
        <v>938.4699999999993</v>
      </c>
      <c r="G354" t="n">
        <v/>
      </c>
      <c r="H354" t="n">
        <v>0.355</v>
      </c>
      <c r="I354" t="n">
        <v>333.1568499999997</v>
      </c>
      <c r="J354" t="n">
        <v>33644</v>
      </c>
      <c r="K354" t="n">
        <v>11949.42</v>
      </c>
    </row>
    <row r="355">
      <c r="A355" t="n">
        <v>2025</v>
      </c>
      <c r="B355" t="n">
        <v>7</v>
      </c>
      <c r="C355" t="inlineStr">
        <is>
          <t>M1030</t>
        </is>
      </c>
      <c r="D355" t="n">
        <v>50.6</v>
      </c>
      <c r="E355" t="n">
        <v>53004</v>
      </c>
      <c r="F355" t="n">
        <v>906.3200000000015</v>
      </c>
      <c r="G355" t="n">
        <v/>
      </c>
      <c r="H355" t="n">
        <v>0.296</v>
      </c>
      <c r="I355" t="n">
        <v>268.2707200000004</v>
      </c>
      <c r="J355" t="n">
        <v>51483</v>
      </c>
      <c r="K355" t="n">
        <v>15262.33</v>
      </c>
    </row>
    <row r="356">
      <c r="A356" t="n">
        <v>2025</v>
      </c>
      <c r="B356" t="n">
        <v>8</v>
      </c>
      <c r="C356" t="inlineStr">
        <is>
          <t>M1030</t>
        </is>
      </c>
      <c r="D356" t="n">
        <v>14.56</v>
      </c>
      <c r="E356" t="n">
        <v>16100</v>
      </c>
      <c r="F356" t="n">
        <v>224.4799999999996</v>
      </c>
      <c r="G356" t="n">
        <v/>
      </c>
      <c r="H356" t="n">
        <v>0.3268</v>
      </c>
      <c r="I356" t="n">
        <v/>
      </c>
      <c r="J356" t="n">
        <v>17650</v>
      </c>
      <c r="K356" t="n">
        <v>5768.63</v>
      </c>
    </row>
    <row r="357">
      <c r="A357" t="n">
        <v>2025</v>
      </c>
      <c r="B357" t="n">
        <v>9</v>
      </c>
      <c r="C357" t="inlineStr">
        <is>
          <t>M1030</t>
        </is>
      </c>
      <c r="D357" t="n">
        <v>37.98</v>
      </c>
      <c r="E357" t="n">
        <v>39691</v>
      </c>
      <c r="F357" t="n">
        <v>676.0599999999995</v>
      </c>
      <c r="G357" t="n">
        <v/>
      </c>
      <c r="H357" t="n">
        <v>0.2732</v>
      </c>
      <c r="I357" t="n">
        <v/>
      </c>
      <c r="J357" t="n">
        <v>47214</v>
      </c>
      <c r="K357" t="n">
        <v>12897.86</v>
      </c>
    </row>
    <row r="358">
      <c r="A358" t="n">
        <v>2025</v>
      </c>
      <c r="B358" t="n">
        <v>10</v>
      </c>
      <c r="C358" t="inlineStr">
        <is>
          <t>M1030</t>
        </is>
      </c>
      <c r="D358" t="n">
        <v>3.08</v>
      </c>
      <c r="E358" t="n">
        <v>5250</v>
      </c>
      <c r="F358" t="n">
        <v>481.5100000000002</v>
      </c>
      <c r="G358" t="n">
        <v/>
      </c>
      <c r="H358" t="n">
        <v>0.2134</v>
      </c>
      <c r="I358" t="n">
        <v/>
      </c>
      <c r="J358" t="n">
        <v>47533</v>
      </c>
      <c r="K358" t="n">
        <v>13101.09</v>
      </c>
    </row>
    <row r="359">
      <c r="A359" t="n">
        <v>2025</v>
      </c>
      <c r="B359" t="n">
        <v>11</v>
      </c>
      <c r="C359" t="inlineStr">
        <is>
          <t>M1030</t>
        </is>
      </c>
      <c r="D359" t="n">
        <v/>
      </c>
      <c r="E359" t="n">
        <v/>
      </c>
      <c r="F359" t="n">
        <v/>
      </c>
      <c r="G359" t="n">
        <v/>
      </c>
      <c r="H359" t="n">
        <v>0</v>
      </c>
      <c r="I359" t="n">
        <v/>
      </c>
      <c r="J359" t="n">
        <v>0</v>
      </c>
      <c r="K359" t="n">
        <v>0</v>
      </c>
    </row>
    <row r="360">
      <c r="A360" t="n">
        <v>2025</v>
      </c>
      <c r="B360" t="n">
        <v>12</v>
      </c>
      <c r="C360" t="inlineStr">
        <is>
          <t>M1030</t>
        </is>
      </c>
      <c r="D360" t="n">
        <v/>
      </c>
      <c r="E360" t="n">
        <v/>
      </c>
      <c r="F360" t="n">
        <v/>
      </c>
      <c r="G360" t="n">
        <v/>
      </c>
      <c r="H360" t="n">
        <v>0</v>
      </c>
      <c r="I360" t="n">
        <v/>
      </c>
      <c r="J360" t="n">
        <v>0</v>
      </c>
      <c r="K360" t="n">
        <v>0</v>
      </c>
    </row>
    <row r="361">
      <c r="A361" t="n">
        <v>2024</v>
      </c>
      <c r="B361" t="n">
        <v>1</v>
      </c>
      <c r="C361" t="inlineStr">
        <is>
          <t>MANUA</t>
        </is>
      </c>
      <c r="D361" t="n">
        <v>0</v>
      </c>
      <c r="E361" t="n">
        <v>744</v>
      </c>
      <c r="F361" t="n">
        <v/>
      </c>
      <c r="G361" t="n">
        <v/>
      </c>
      <c r="H361" t="n">
        <v>0.2557</v>
      </c>
      <c r="I361" t="n">
        <v/>
      </c>
      <c r="J361" t="n">
        <v>64934</v>
      </c>
      <c r="K361" t="n">
        <v>16601.39</v>
      </c>
    </row>
    <row r="362">
      <c r="A362" t="n">
        <v>2024</v>
      </c>
      <c r="B362" t="n">
        <v>2</v>
      </c>
      <c r="C362" t="inlineStr">
        <is>
          <t>MANUA</t>
        </is>
      </c>
      <c r="D362" t="n">
        <v>0</v>
      </c>
      <c r="E362" t="n">
        <v>376</v>
      </c>
      <c r="F362" t="n">
        <v/>
      </c>
      <c r="G362" t="n">
        <v/>
      </c>
      <c r="H362" t="n">
        <v>0.2378</v>
      </c>
      <c r="I362" t="n">
        <v/>
      </c>
      <c r="J362" t="n">
        <v>71197</v>
      </c>
      <c r="K362" t="n">
        <v>16934</v>
      </c>
    </row>
    <row r="363">
      <c r="A363" t="n">
        <v>2024</v>
      </c>
      <c r="B363" t="n">
        <v>3</v>
      </c>
      <c r="C363" t="inlineStr">
        <is>
          <t>MANUA</t>
        </is>
      </c>
      <c r="D363" t="n">
        <v>0</v>
      </c>
      <c r="E363" t="n">
        <v>0</v>
      </c>
      <c r="F363" t="n">
        <v/>
      </c>
      <c r="G363" t="n">
        <v/>
      </c>
      <c r="H363" t="n">
        <v>0.2428</v>
      </c>
      <c r="I363" t="n">
        <v/>
      </c>
      <c r="J363" t="n">
        <v>51152</v>
      </c>
      <c r="K363" t="n">
        <v>12419.74</v>
      </c>
    </row>
    <row r="364">
      <c r="A364" t="n">
        <v>2024</v>
      </c>
      <c r="B364" t="n">
        <v>4</v>
      </c>
      <c r="C364" t="inlineStr">
        <is>
          <t>MANUA</t>
        </is>
      </c>
      <c r="D364" t="n">
        <v>0</v>
      </c>
      <c r="E364" t="n">
        <v>0</v>
      </c>
      <c r="F364" t="n">
        <v/>
      </c>
      <c r="G364" t="n">
        <v/>
      </c>
      <c r="H364" t="n">
        <v>0.2416</v>
      </c>
      <c r="I364" t="n">
        <v/>
      </c>
      <c r="J364" t="n">
        <v>45316</v>
      </c>
      <c r="K364" t="n">
        <v>10948.47</v>
      </c>
    </row>
    <row r="365">
      <c r="A365" t="n">
        <v>2024</v>
      </c>
      <c r="B365" t="n">
        <v>5</v>
      </c>
      <c r="C365" t="inlineStr">
        <is>
          <t>MANUA</t>
        </is>
      </c>
      <c r="D365" t="n">
        <v>0</v>
      </c>
      <c r="E365" t="n">
        <v>576</v>
      </c>
      <c r="F365" t="n">
        <v/>
      </c>
      <c r="G365" t="n">
        <v/>
      </c>
      <c r="H365" t="n">
        <v>0.2507</v>
      </c>
      <c r="I365" t="n">
        <v/>
      </c>
      <c r="J365" t="n">
        <v>51330</v>
      </c>
      <c r="K365" t="n">
        <v>12868.58</v>
      </c>
    </row>
    <row r="366">
      <c r="A366" t="n">
        <v>2024</v>
      </c>
      <c r="B366" t="n">
        <v>6</v>
      </c>
      <c r="C366" t="inlineStr">
        <is>
          <t>MANUA</t>
        </is>
      </c>
      <c r="D366" t="n">
        <v>0</v>
      </c>
      <c r="E366" t="n">
        <v>250</v>
      </c>
      <c r="F366" t="n">
        <v/>
      </c>
      <c r="G366" t="n">
        <v/>
      </c>
      <c r="H366" t="n">
        <v>0.2722</v>
      </c>
      <c r="I366" t="n">
        <v/>
      </c>
      <c r="J366" t="n">
        <v>42151</v>
      </c>
      <c r="K366" t="n">
        <v>11473.9</v>
      </c>
    </row>
    <row r="367">
      <c r="A367" t="n">
        <v>2024</v>
      </c>
      <c r="B367" t="n">
        <v>7</v>
      </c>
      <c r="C367" t="inlineStr">
        <is>
          <t>MANUA</t>
        </is>
      </c>
      <c r="D367" t="n">
        <v>0</v>
      </c>
      <c r="E367" t="n">
        <v>15453</v>
      </c>
      <c r="F367" t="n">
        <v/>
      </c>
      <c r="G367" t="n">
        <v/>
      </c>
      <c r="H367" t="n">
        <v>0.287</v>
      </c>
      <c r="I367" t="n">
        <v/>
      </c>
      <c r="J367" t="n">
        <v>67581</v>
      </c>
      <c r="K367" t="n">
        <v>19396.73</v>
      </c>
    </row>
    <row r="368">
      <c r="A368" t="n">
        <v>2024</v>
      </c>
      <c r="B368" t="n">
        <v>8</v>
      </c>
      <c r="C368" t="inlineStr">
        <is>
          <t>MANUA</t>
        </is>
      </c>
      <c r="D368" t="n">
        <v>0</v>
      </c>
      <c r="E368" t="n">
        <v>0</v>
      </c>
      <c r="F368" t="n">
        <v/>
      </c>
      <c r="G368" t="n">
        <v/>
      </c>
      <c r="H368" t="n">
        <v>0.3047</v>
      </c>
      <c r="I368" t="n">
        <v/>
      </c>
      <c r="J368" t="n">
        <v>44796</v>
      </c>
      <c r="K368" t="n">
        <v>13651.04</v>
      </c>
    </row>
    <row r="369">
      <c r="A369" t="n">
        <v>2024</v>
      </c>
      <c r="B369" t="n">
        <v>9</v>
      </c>
      <c r="C369" t="inlineStr">
        <is>
          <t>MANUA</t>
        </is>
      </c>
      <c r="D369" t="n">
        <v>0</v>
      </c>
      <c r="E369" t="n">
        <v>1834</v>
      </c>
      <c r="F369" t="n">
        <v/>
      </c>
      <c r="G369" t="n">
        <v/>
      </c>
      <c r="H369" t="n">
        <v>0.2904</v>
      </c>
      <c r="I369" t="n">
        <v/>
      </c>
      <c r="J369" t="n">
        <v>52599</v>
      </c>
      <c r="K369" t="n">
        <v>15277.15</v>
      </c>
    </row>
    <row r="370">
      <c r="A370" t="n">
        <v>2024</v>
      </c>
      <c r="B370" t="n">
        <v>10</v>
      </c>
      <c r="C370" t="inlineStr">
        <is>
          <t>MANUA</t>
        </is>
      </c>
      <c r="D370" t="n">
        <v>0</v>
      </c>
      <c r="E370" t="n">
        <v>4112</v>
      </c>
      <c r="F370" t="n">
        <v/>
      </c>
      <c r="G370" t="n">
        <v/>
      </c>
      <c r="H370" t="n">
        <v>0.2856</v>
      </c>
      <c r="I370" t="n">
        <v/>
      </c>
      <c r="J370" t="n">
        <v>54362</v>
      </c>
      <c r="K370" t="n">
        <v>15523.99</v>
      </c>
    </row>
    <row r="371">
      <c r="A371" t="n">
        <v>2024</v>
      </c>
      <c r="B371" t="n">
        <v>11</v>
      </c>
      <c r="C371" t="inlineStr">
        <is>
          <t>MANUA</t>
        </is>
      </c>
      <c r="D371" t="n">
        <v>0</v>
      </c>
      <c r="E371" t="n">
        <v>4350</v>
      </c>
      <c r="F371" t="n">
        <v/>
      </c>
      <c r="G371" t="n">
        <v/>
      </c>
      <c r="H371" t="n">
        <v>0.307</v>
      </c>
      <c r="I371" t="n">
        <v>0</v>
      </c>
      <c r="J371" t="n">
        <v>64157</v>
      </c>
      <c r="K371" t="n">
        <v>19751.41</v>
      </c>
    </row>
    <row r="372">
      <c r="A372" t="n">
        <v>2024</v>
      </c>
      <c r="B372" t="n">
        <v>12</v>
      </c>
      <c r="C372" t="inlineStr">
        <is>
          <t>MANUA</t>
        </is>
      </c>
      <c r="D372" t="n">
        <v>0</v>
      </c>
      <c r="E372" t="n">
        <v>31394</v>
      </c>
      <c r="F372" t="n">
        <v/>
      </c>
      <c r="G372" t="n">
        <v/>
      </c>
      <c r="H372" t="n">
        <v>0.331</v>
      </c>
      <c r="I372" t="n">
        <v>0</v>
      </c>
      <c r="J372" t="n">
        <v>51593</v>
      </c>
      <c r="K372" t="n">
        <v>17063.94</v>
      </c>
    </row>
    <row r="373">
      <c r="A373" t="n">
        <v>2025</v>
      </c>
      <c r="B373" t="n">
        <v>1</v>
      </c>
      <c r="C373" t="inlineStr">
        <is>
          <t>MANUA</t>
        </is>
      </c>
      <c r="D373" t="n">
        <v/>
      </c>
      <c r="E373" t="n">
        <v/>
      </c>
      <c r="F373" t="n">
        <v/>
      </c>
      <c r="G373" t="n">
        <v/>
      </c>
      <c r="H373" t="n">
        <v>0.335</v>
      </c>
      <c r="I373" t="n">
        <v>0</v>
      </c>
      <c r="J373" t="n">
        <v>61904</v>
      </c>
      <c r="K373" t="n">
        <v>20875.39</v>
      </c>
    </row>
    <row r="374">
      <c r="A374" t="n">
        <v>2025</v>
      </c>
      <c r="B374" t="n">
        <v>2</v>
      </c>
      <c r="C374" t="inlineStr">
        <is>
          <t>MANUA</t>
        </is>
      </c>
      <c r="D374" t="n">
        <v/>
      </c>
      <c r="E374" t="n">
        <v/>
      </c>
      <c r="F374" t="n">
        <v/>
      </c>
      <c r="G374" t="n">
        <v/>
      </c>
      <c r="H374" t="n">
        <v>0.334</v>
      </c>
      <c r="I374" t="n">
        <v>0</v>
      </c>
      <c r="J374" t="n">
        <v>60366</v>
      </c>
      <c r="K374" t="n">
        <v>20173.7</v>
      </c>
    </row>
    <row r="375">
      <c r="A375" t="n">
        <v>2025</v>
      </c>
      <c r="B375" t="n">
        <v>3</v>
      </c>
      <c r="C375" t="inlineStr">
        <is>
          <t>MANUA</t>
        </is>
      </c>
      <c r="D375" t="n">
        <v/>
      </c>
      <c r="E375" t="n">
        <v/>
      </c>
      <c r="F375" t="n">
        <v/>
      </c>
      <c r="G375" t="n">
        <v/>
      </c>
      <c r="H375" t="n">
        <v>0.286</v>
      </c>
      <c r="I375" t="n">
        <v>0</v>
      </c>
      <c r="J375" t="n">
        <v>58209</v>
      </c>
      <c r="K375" t="n">
        <v>16648.58</v>
      </c>
    </row>
    <row r="376">
      <c r="A376" t="n">
        <v>2025</v>
      </c>
      <c r="B376" t="n">
        <v>4</v>
      </c>
      <c r="C376" t="inlineStr">
        <is>
          <t>MANUA</t>
        </is>
      </c>
      <c r="D376" t="n">
        <v/>
      </c>
      <c r="E376" t="n">
        <v/>
      </c>
      <c r="F376" t="n">
        <v/>
      </c>
      <c r="G376" t="n">
        <v/>
      </c>
      <c r="H376" t="n">
        <v>0.2655</v>
      </c>
      <c r="I376" t="n">
        <v>0</v>
      </c>
      <c r="J376" t="n">
        <v>41269</v>
      </c>
      <c r="K376" t="n">
        <v>10956.7</v>
      </c>
    </row>
    <row r="377">
      <c r="A377" t="n">
        <v>2025</v>
      </c>
      <c r="B377" t="n">
        <v>5</v>
      </c>
      <c r="C377" t="inlineStr">
        <is>
          <t>MANUA</t>
        </is>
      </c>
      <c r="D377" t="n">
        <v/>
      </c>
      <c r="E377" t="n">
        <v/>
      </c>
      <c r="F377" t="n">
        <v/>
      </c>
      <c r="G377" t="n">
        <v/>
      </c>
      <c r="H377" t="n">
        <v>0.2575</v>
      </c>
      <c r="I377" t="n">
        <v>0</v>
      </c>
      <c r="J377" t="n">
        <v>30809</v>
      </c>
      <c r="K377" t="n">
        <v>7932.95</v>
      </c>
    </row>
    <row r="378">
      <c r="A378" t="n">
        <v>2025</v>
      </c>
      <c r="B378" t="n">
        <v>6</v>
      </c>
      <c r="C378" t="inlineStr">
        <is>
          <t>MANUA</t>
        </is>
      </c>
      <c r="D378" t="n">
        <v/>
      </c>
      <c r="E378" t="n">
        <v/>
      </c>
      <c r="F378" t="n">
        <v/>
      </c>
      <c r="G378" t="n">
        <v/>
      </c>
      <c r="H378" t="n">
        <v>0.355</v>
      </c>
      <c r="I378" t="n">
        <v>0</v>
      </c>
      <c r="J378" t="n">
        <v>33644</v>
      </c>
      <c r="K378" t="n">
        <v>11949.42</v>
      </c>
    </row>
    <row r="379">
      <c r="A379" t="n">
        <v>2025</v>
      </c>
      <c r="B379" t="n">
        <v>7</v>
      </c>
      <c r="C379" t="inlineStr">
        <is>
          <t>MANUA</t>
        </is>
      </c>
      <c r="D379" t="n">
        <v/>
      </c>
      <c r="E379" t="n">
        <v/>
      </c>
      <c r="F379" t="n">
        <v/>
      </c>
      <c r="G379" t="n">
        <v/>
      </c>
      <c r="H379" t="n">
        <v>0.296</v>
      </c>
      <c r="I379" t="n">
        <v>0</v>
      </c>
      <c r="J379" t="n">
        <v>51483</v>
      </c>
      <c r="K379" t="n">
        <v>15262.33</v>
      </c>
    </row>
    <row r="380">
      <c r="A380" t="n">
        <v>2025</v>
      </c>
      <c r="B380" t="n">
        <v>8</v>
      </c>
      <c r="C380" t="inlineStr">
        <is>
          <t>MANUA</t>
        </is>
      </c>
      <c r="D380" t="n">
        <v>0</v>
      </c>
      <c r="E380" t="n">
        <v>11284</v>
      </c>
      <c r="F380" t="n">
        <v/>
      </c>
      <c r="G380" t="n">
        <v/>
      </c>
      <c r="H380" t="n">
        <v>0.3268</v>
      </c>
      <c r="I380" t="n">
        <v/>
      </c>
      <c r="J380" t="n">
        <v>17650</v>
      </c>
      <c r="K380" t="n">
        <v>5768.63</v>
      </c>
    </row>
    <row r="381">
      <c r="A381" t="n">
        <v>2025</v>
      </c>
      <c r="B381" t="n">
        <v>9</v>
      </c>
      <c r="C381" t="inlineStr">
        <is>
          <t>MANUA</t>
        </is>
      </c>
      <c r="D381" t="n">
        <v>0</v>
      </c>
      <c r="E381" t="n">
        <v>22523</v>
      </c>
      <c r="F381" t="n">
        <v/>
      </c>
      <c r="G381" t="n">
        <v/>
      </c>
      <c r="H381" t="n">
        <v>0.2732</v>
      </c>
      <c r="I381" t="n">
        <v/>
      </c>
      <c r="J381" t="n">
        <v>47214</v>
      </c>
      <c r="K381" t="n">
        <v>0</v>
      </c>
    </row>
    <row r="382">
      <c r="A382" t="n">
        <v>2025</v>
      </c>
      <c r="B382" t="n">
        <v>10</v>
      </c>
      <c r="C382" t="inlineStr">
        <is>
          <t>MANUA</t>
        </is>
      </c>
      <c r="D382" t="n">
        <v>0</v>
      </c>
      <c r="E382" t="n">
        <v>10000</v>
      </c>
      <c r="F382" t="n">
        <v/>
      </c>
      <c r="G382" t="n">
        <v/>
      </c>
      <c r="H382" t="n">
        <v>0.2134</v>
      </c>
      <c r="I382" t="n">
        <v/>
      </c>
      <c r="J382" t="n">
        <v>47533</v>
      </c>
      <c r="K382" t="n">
        <v>0</v>
      </c>
    </row>
    <row r="383">
      <c r="A383" t="n">
        <v>2025</v>
      </c>
      <c r="B383" t="n">
        <v>11</v>
      </c>
      <c r="C383" t="inlineStr">
        <is>
          <t>MANUA</t>
        </is>
      </c>
      <c r="D383" t="n">
        <v/>
      </c>
      <c r="E383" t="n">
        <v/>
      </c>
      <c r="F383" t="n">
        <v/>
      </c>
      <c r="G383" t="n">
        <v/>
      </c>
      <c r="H383" t="n">
        <v>0</v>
      </c>
      <c r="I383" t="n">
        <v/>
      </c>
      <c r="J383" t="n">
        <v>0</v>
      </c>
      <c r="K383" t="n">
        <v>0</v>
      </c>
    </row>
    <row r="384">
      <c r="A384" t="n">
        <v>2025</v>
      </c>
      <c r="B384" t="n">
        <v>12</v>
      </c>
      <c r="C384" t="inlineStr">
        <is>
          <t>MANUA</t>
        </is>
      </c>
      <c r="D384" t="n">
        <v/>
      </c>
      <c r="E384" t="n">
        <v/>
      </c>
      <c r="F384" t="n">
        <v/>
      </c>
      <c r="G384" t="n">
        <v/>
      </c>
      <c r="H384" t="n">
        <v>0</v>
      </c>
      <c r="I384" t="n">
        <v/>
      </c>
      <c r="J384" t="n">
        <v>0</v>
      </c>
      <c r="K384" t="n">
        <v>0</v>
      </c>
    </row>
    <row r="385">
      <c r="A385" t="n">
        <v>2024</v>
      </c>
      <c r="B385" t="n">
        <v>1</v>
      </c>
      <c r="C385" t="inlineStr">
        <is>
          <t>MG5</t>
        </is>
      </c>
      <c r="D385" t="n">
        <v>44.22</v>
      </c>
      <c r="E385" t="n">
        <v>15977</v>
      </c>
      <c r="F385" t="n">
        <v/>
      </c>
      <c r="G385" t="n">
        <v/>
      </c>
      <c r="H385" t="n">
        <v>0.2557</v>
      </c>
      <c r="I385" t="n">
        <v/>
      </c>
      <c r="J385" t="n">
        <v>64934</v>
      </c>
      <c r="K385" t="n">
        <v>16601.39</v>
      </c>
    </row>
    <row r="386">
      <c r="A386" t="n">
        <v>2024</v>
      </c>
      <c r="B386" t="n">
        <v>2</v>
      </c>
      <c r="C386" t="inlineStr">
        <is>
          <t>MG5</t>
        </is>
      </c>
      <c r="D386" t="n">
        <v>237.45</v>
      </c>
      <c r="E386" t="n">
        <v>80655</v>
      </c>
      <c r="F386" t="n">
        <v/>
      </c>
      <c r="G386" t="n">
        <v/>
      </c>
      <c r="H386" t="n">
        <v>0.2378</v>
      </c>
      <c r="I386" t="n">
        <v/>
      </c>
      <c r="J386" t="n">
        <v>71197</v>
      </c>
      <c r="K386" t="n">
        <v>16934</v>
      </c>
    </row>
    <row r="387">
      <c r="A387" t="n">
        <v>2024</v>
      </c>
      <c r="B387" t="n">
        <v>3</v>
      </c>
      <c r="C387" t="inlineStr">
        <is>
          <t>MG5</t>
        </is>
      </c>
      <c r="D387" t="n">
        <v>230.27</v>
      </c>
      <c r="E387" t="n">
        <v>84827</v>
      </c>
      <c r="F387" t="n">
        <v/>
      </c>
      <c r="G387" t="n">
        <v/>
      </c>
      <c r="H387" t="n">
        <v>0.2428</v>
      </c>
      <c r="I387" t="n">
        <v/>
      </c>
      <c r="J387" t="n">
        <v>51152</v>
      </c>
      <c r="K387" t="n">
        <v>12419.74</v>
      </c>
    </row>
    <row r="388">
      <c r="A388" t="n">
        <v>2024</v>
      </c>
      <c r="B388" t="n">
        <v>4</v>
      </c>
      <c r="C388" t="inlineStr">
        <is>
          <t>MG5</t>
        </is>
      </c>
      <c r="D388" t="n">
        <v>190.51</v>
      </c>
      <c r="E388" t="n">
        <v>47809</v>
      </c>
      <c r="F388" t="n">
        <v/>
      </c>
      <c r="G388" t="n">
        <v/>
      </c>
      <c r="H388" t="n">
        <v>0.2416</v>
      </c>
      <c r="I388" t="n">
        <v/>
      </c>
      <c r="J388" t="n">
        <v>45316</v>
      </c>
      <c r="K388" t="n">
        <v>10948.47</v>
      </c>
    </row>
    <row r="389">
      <c r="A389" t="n">
        <v>2024</v>
      </c>
      <c r="B389" t="n">
        <v>5</v>
      </c>
      <c r="C389" t="inlineStr">
        <is>
          <t>MG5</t>
        </is>
      </c>
      <c r="D389" t="n">
        <v>100.88</v>
      </c>
      <c r="E389" t="n">
        <v>37786</v>
      </c>
      <c r="F389" t="n">
        <v/>
      </c>
      <c r="G389" t="n">
        <v/>
      </c>
      <c r="H389" t="n">
        <v>0.2507</v>
      </c>
      <c r="I389" t="n">
        <v/>
      </c>
      <c r="J389" t="n">
        <v>51330</v>
      </c>
      <c r="K389" t="n">
        <v>12868.58</v>
      </c>
    </row>
    <row r="390">
      <c r="A390" t="n">
        <v>2024</v>
      </c>
      <c r="B390" t="n">
        <v>6</v>
      </c>
      <c r="C390" t="inlineStr">
        <is>
          <t>MG5</t>
        </is>
      </c>
      <c r="D390" t="n">
        <v>76.43000000000001</v>
      </c>
      <c r="E390" t="n">
        <v>29749</v>
      </c>
      <c r="F390" t="n">
        <v/>
      </c>
      <c r="G390" t="n">
        <v/>
      </c>
      <c r="H390" t="n">
        <v>0.2722</v>
      </c>
      <c r="I390" t="n">
        <v/>
      </c>
      <c r="J390" t="n">
        <v>42151</v>
      </c>
      <c r="K390" t="n">
        <v>11473.9</v>
      </c>
    </row>
    <row r="391">
      <c r="A391" t="n">
        <v>2024</v>
      </c>
      <c r="B391" t="n">
        <v>7</v>
      </c>
      <c r="C391" t="inlineStr">
        <is>
          <t>MG5</t>
        </is>
      </c>
      <c r="D391" t="n">
        <v>4.85</v>
      </c>
      <c r="E391" t="n">
        <v>1657</v>
      </c>
      <c r="F391" t="n">
        <v/>
      </c>
      <c r="G391" t="n">
        <v/>
      </c>
      <c r="H391" t="n">
        <v>0.287</v>
      </c>
      <c r="I391" t="n">
        <v/>
      </c>
      <c r="J391" t="n">
        <v>67581</v>
      </c>
      <c r="K391" t="n">
        <v>19396.73</v>
      </c>
    </row>
    <row r="392">
      <c r="A392" t="n">
        <v>2024</v>
      </c>
      <c r="B392" t="n">
        <v>8</v>
      </c>
      <c r="C392" t="inlineStr">
        <is>
          <t>MG5</t>
        </is>
      </c>
      <c r="D392" t="n">
        <v>43.96</v>
      </c>
      <c r="E392" t="n">
        <v>15795</v>
      </c>
      <c r="F392" t="n">
        <v/>
      </c>
      <c r="G392" t="n">
        <v/>
      </c>
      <c r="H392" t="n">
        <v>0.3047</v>
      </c>
      <c r="I392" t="n">
        <v/>
      </c>
      <c r="J392" t="n">
        <v>44796</v>
      </c>
      <c r="K392" t="n">
        <v>13651.04</v>
      </c>
    </row>
    <row r="393">
      <c r="A393" t="n">
        <v>2024</v>
      </c>
      <c r="B393" t="n">
        <v>9</v>
      </c>
      <c r="C393" t="inlineStr">
        <is>
          <t>MG5</t>
        </is>
      </c>
      <c r="D393" t="n">
        <v>193.27</v>
      </c>
      <c r="E393" t="n">
        <v>93880</v>
      </c>
      <c r="F393" t="n">
        <v/>
      </c>
      <c r="G393" t="n">
        <v/>
      </c>
      <c r="H393" t="n">
        <v>0.2904</v>
      </c>
      <c r="I393" t="n">
        <v/>
      </c>
      <c r="J393" t="n">
        <v>52599</v>
      </c>
      <c r="K393" t="n">
        <v>15277.15</v>
      </c>
    </row>
    <row r="394">
      <c r="A394" t="n">
        <v>2024</v>
      </c>
      <c r="B394" t="n">
        <v>10</v>
      </c>
      <c r="C394" t="inlineStr">
        <is>
          <t>MG5</t>
        </is>
      </c>
      <c r="D394" t="n">
        <v>77.08</v>
      </c>
      <c r="E394" t="n">
        <v>36904</v>
      </c>
      <c r="F394" t="n">
        <v/>
      </c>
      <c r="G394" t="n">
        <v/>
      </c>
      <c r="H394" t="n">
        <v>0.2856</v>
      </c>
      <c r="I394" t="n">
        <v/>
      </c>
      <c r="J394" t="n">
        <v>54362</v>
      </c>
      <c r="K394" t="n">
        <v>15523.99</v>
      </c>
    </row>
    <row r="395">
      <c r="A395" t="n">
        <v>2024</v>
      </c>
      <c r="B395" t="n">
        <v>11</v>
      </c>
      <c r="C395" t="inlineStr">
        <is>
          <t>MG5</t>
        </is>
      </c>
      <c r="D395" t="n">
        <v>167</v>
      </c>
      <c r="E395" t="n">
        <v>39163</v>
      </c>
      <c r="F395" t="n">
        <v>300.9600000000028</v>
      </c>
      <c r="G395" t="n">
        <v/>
      </c>
      <c r="H395" t="n">
        <v>0.307</v>
      </c>
      <c r="I395" t="n">
        <v>92.39472000000086</v>
      </c>
      <c r="J395" t="n">
        <v>64157</v>
      </c>
      <c r="K395" t="n">
        <v>19751.41</v>
      </c>
    </row>
    <row r="396">
      <c r="A396" t="n">
        <v>2024</v>
      </c>
      <c r="B396" t="n">
        <v>12</v>
      </c>
      <c r="C396" t="inlineStr">
        <is>
          <t>MG5</t>
        </is>
      </c>
      <c r="D396" t="n">
        <v>313.3</v>
      </c>
      <c r="E396" t="n">
        <v>106394</v>
      </c>
      <c r="F396" t="n">
        <v>602.5</v>
      </c>
      <c r="G396" t="n">
        <v/>
      </c>
      <c r="H396" t="n">
        <v>0.331</v>
      </c>
      <c r="I396" t="n">
        <v>199.4275</v>
      </c>
      <c r="J396" t="n">
        <v>51593</v>
      </c>
      <c r="K396" t="n">
        <v>17063.94</v>
      </c>
    </row>
    <row r="397">
      <c r="A397" t="n">
        <v>2025</v>
      </c>
      <c r="B397" t="n">
        <v>1</v>
      </c>
      <c r="C397" t="inlineStr">
        <is>
          <t>MG5</t>
        </is>
      </c>
      <c r="D397" t="n">
        <v>83.8</v>
      </c>
      <c r="E397" t="n">
        <v>33385</v>
      </c>
      <c r="F397" t="n">
        <v>255.7599999999984</v>
      </c>
      <c r="G397" t="n">
        <v/>
      </c>
      <c r="H397" t="n">
        <v>0.335</v>
      </c>
      <c r="I397" t="n">
        <v>85.67959999999947</v>
      </c>
      <c r="J397" t="n">
        <v>61904</v>
      </c>
      <c r="K397" t="n">
        <v>20875.39</v>
      </c>
    </row>
    <row r="398">
      <c r="A398" t="n">
        <v>2025</v>
      </c>
      <c r="B398" t="n">
        <v>2</v>
      </c>
      <c r="C398" t="inlineStr">
        <is>
          <t>MG5</t>
        </is>
      </c>
      <c r="D398" t="n">
        <v>164.4</v>
      </c>
      <c r="E398" t="n">
        <v>50236</v>
      </c>
      <c r="F398" t="n">
        <v>466.130000000001</v>
      </c>
      <c r="G398" t="n">
        <v/>
      </c>
      <c r="H398" t="n">
        <v>0.334</v>
      </c>
      <c r="I398" t="n">
        <v>155.6874200000003</v>
      </c>
      <c r="J398" t="n">
        <v>60366</v>
      </c>
      <c r="K398" t="n">
        <v>20173.7</v>
      </c>
    </row>
    <row r="399">
      <c r="A399" t="n">
        <v>2025</v>
      </c>
      <c r="B399" t="n">
        <v>3</v>
      </c>
      <c r="C399" t="inlineStr">
        <is>
          <t>MG5</t>
        </is>
      </c>
      <c r="D399" t="n">
        <v>67.3</v>
      </c>
      <c r="E399" t="n">
        <v>21941</v>
      </c>
      <c r="F399" t="n">
        <v>325.2200000000012</v>
      </c>
      <c r="G399" t="n">
        <v/>
      </c>
      <c r="H399" t="n">
        <v>0.286</v>
      </c>
      <c r="I399" t="n">
        <v>93.01292000000034</v>
      </c>
      <c r="J399" t="n">
        <v>58209</v>
      </c>
      <c r="K399" t="n">
        <v>16648.58</v>
      </c>
    </row>
    <row r="400">
      <c r="A400" t="n">
        <v>2025</v>
      </c>
      <c r="B400" t="n">
        <v>4</v>
      </c>
      <c r="C400" t="inlineStr">
        <is>
          <t>MG5</t>
        </is>
      </c>
      <c r="D400" t="n">
        <v>26.5</v>
      </c>
      <c r="E400" t="n">
        <v>9251</v>
      </c>
      <c r="F400" t="n">
        <v>83.38999999999942</v>
      </c>
      <c r="G400" t="n">
        <v/>
      </c>
      <c r="H400" t="n">
        <v>0.2655</v>
      </c>
      <c r="I400" t="n">
        <v>22.14004499999985</v>
      </c>
      <c r="J400" t="n">
        <v>41269</v>
      </c>
      <c r="K400" t="n">
        <v>10956.7</v>
      </c>
    </row>
    <row r="401">
      <c r="A401" t="n">
        <v>2025</v>
      </c>
      <c r="B401" t="n">
        <v>5</v>
      </c>
      <c r="C401" t="inlineStr">
        <is>
          <t>MG5</t>
        </is>
      </c>
      <c r="D401" t="n">
        <v>122.3</v>
      </c>
      <c r="E401" t="n">
        <v>49539</v>
      </c>
      <c r="F401" t="n">
        <v>382.1100000000006</v>
      </c>
      <c r="G401" t="n">
        <v/>
      </c>
      <c r="H401" t="n">
        <v>0.2575</v>
      </c>
      <c r="I401" t="n">
        <v>98.39332500000015</v>
      </c>
      <c r="J401" t="n">
        <v>30809</v>
      </c>
      <c r="K401" t="n">
        <v>7932.95</v>
      </c>
    </row>
    <row r="402">
      <c r="A402" t="n">
        <v>2025</v>
      </c>
      <c r="B402" t="n">
        <v>6</v>
      </c>
      <c r="C402" t="inlineStr">
        <is>
          <t>MG5</t>
        </is>
      </c>
      <c r="D402" t="n">
        <v>257.3</v>
      </c>
      <c r="E402" t="n">
        <v>96390</v>
      </c>
      <c r="F402" t="n">
        <v>583.3600000000006</v>
      </c>
      <c r="G402" t="n">
        <v/>
      </c>
      <c r="H402" t="n">
        <v>0.355</v>
      </c>
      <c r="I402" t="n">
        <v>207.0928000000002</v>
      </c>
      <c r="J402" t="n">
        <v>33644</v>
      </c>
      <c r="K402" t="n">
        <v>11949.42</v>
      </c>
    </row>
    <row r="403">
      <c r="A403" t="n">
        <v>2025</v>
      </c>
      <c r="B403" t="n">
        <v>7</v>
      </c>
      <c r="C403" t="inlineStr">
        <is>
          <t>MG5</t>
        </is>
      </c>
      <c r="D403" t="n">
        <v>82</v>
      </c>
      <c r="E403" t="n">
        <v>24626</v>
      </c>
      <c r="F403" t="n">
        <v>296.8300000000017</v>
      </c>
      <c r="G403" t="n">
        <v/>
      </c>
      <c r="H403" t="n">
        <v>0.296</v>
      </c>
      <c r="I403" t="n">
        <v>87.86168000000049</v>
      </c>
      <c r="J403" t="n">
        <v>51483</v>
      </c>
      <c r="K403" t="n">
        <v>15262.33</v>
      </c>
    </row>
    <row r="404">
      <c r="A404" t="n">
        <v>2025</v>
      </c>
      <c r="B404" t="n">
        <v>8</v>
      </c>
      <c r="C404" t="inlineStr">
        <is>
          <t>MG5</t>
        </is>
      </c>
      <c r="D404" t="n">
        <v>58.05</v>
      </c>
      <c r="E404" t="n">
        <v>18480</v>
      </c>
      <c r="F404" t="n">
        <v>152.7900000000009</v>
      </c>
      <c r="G404" t="n">
        <v/>
      </c>
      <c r="H404" t="n">
        <v>0.3268</v>
      </c>
      <c r="I404" t="n">
        <v>49.93177200000029</v>
      </c>
      <c r="J404" t="n">
        <v>17650</v>
      </c>
      <c r="K404" t="n">
        <v>5768.63</v>
      </c>
    </row>
    <row r="405">
      <c r="A405" t="n">
        <v>2025</v>
      </c>
      <c r="B405" t="n">
        <v>9</v>
      </c>
      <c r="C405" t="inlineStr">
        <is>
          <t>MG5</t>
        </is>
      </c>
      <c r="D405" t="n">
        <v>157.72</v>
      </c>
      <c r="E405" t="n">
        <v>48778</v>
      </c>
      <c r="F405" t="n">
        <v>450.6599999999999</v>
      </c>
      <c r="G405" t="n">
        <v/>
      </c>
      <c r="H405" t="n">
        <v>0.2732</v>
      </c>
      <c r="I405" t="n">
        <v>123.120312</v>
      </c>
      <c r="J405" t="n">
        <v>47214</v>
      </c>
      <c r="K405" t="n">
        <v>12897.86</v>
      </c>
    </row>
    <row r="406">
      <c r="A406" t="n">
        <v>2025</v>
      </c>
      <c r="B406" t="n">
        <v>10</v>
      </c>
      <c r="C406" t="inlineStr">
        <is>
          <t>MG5</t>
        </is>
      </c>
      <c r="D406" t="n">
        <v>48.67</v>
      </c>
      <c r="E406" t="n">
        <v>22306</v>
      </c>
      <c r="F406" t="n">
        <v>433.9199999999983</v>
      </c>
      <c r="G406" t="n">
        <v/>
      </c>
      <c r="H406" t="n">
        <v>0.2134</v>
      </c>
      <c r="I406" t="n">
        <v>92.59852799999965</v>
      </c>
      <c r="J406" t="n">
        <v>47533</v>
      </c>
      <c r="K406" t="n">
        <v>13101.09</v>
      </c>
    </row>
    <row r="407">
      <c r="A407" t="n">
        <v>2025</v>
      </c>
      <c r="B407" t="n">
        <v>11</v>
      </c>
      <c r="C407" t="inlineStr">
        <is>
          <t>MG5</t>
        </is>
      </c>
      <c r="D407" t="n">
        <v/>
      </c>
      <c r="E407" t="n">
        <v/>
      </c>
      <c r="F407" t="n">
        <v/>
      </c>
      <c r="G407" t="n">
        <v/>
      </c>
      <c r="H407" t="n">
        <v>0</v>
      </c>
      <c r="I407" t="n">
        <v/>
      </c>
      <c r="J407" t="n">
        <v>0</v>
      </c>
      <c r="K407" t="n">
        <v>0</v>
      </c>
    </row>
    <row r="408">
      <c r="A408" t="n">
        <v>2025</v>
      </c>
      <c r="B408" t="n">
        <v>12</v>
      </c>
      <c r="C408" t="inlineStr">
        <is>
          <t>MG5</t>
        </is>
      </c>
      <c r="D408" t="n">
        <v/>
      </c>
      <c r="E408" t="n">
        <v/>
      </c>
      <c r="F408" t="n">
        <v/>
      </c>
      <c r="G408" t="n">
        <v/>
      </c>
      <c r="H408" t="n">
        <v>0</v>
      </c>
      <c r="I408" t="n">
        <v/>
      </c>
      <c r="J408" t="n">
        <v>0</v>
      </c>
      <c r="K408" t="n">
        <v>0</v>
      </c>
    </row>
    <row r="409">
      <c r="A409" t="n">
        <v>2024</v>
      </c>
      <c r="B409" t="n">
        <v>1</v>
      </c>
      <c r="C409" t="inlineStr">
        <is>
          <t>MG6</t>
        </is>
      </c>
      <c r="D409" t="n">
        <v>32.47</v>
      </c>
      <c r="E409" t="n">
        <v>11214</v>
      </c>
      <c r="F409" t="n">
        <v/>
      </c>
      <c r="G409" t="n">
        <v/>
      </c>
      <c r="H409" t="n">
        <v>0.2557</v>
      </c>
      <c r="I409" t="n">
        <v/>
      </c>
      <c r="J409" t="n">
        <v>64934</v>
      </c>
      <c r="K409" t="n">
        <v>16601.39</v>
      </c>
    </row>
    <row r="410">
      <c r="A410" t="n">
        <v>2024</v>
      </c>
      <c r="B410" t="n">
        <v>2</v>
      </c>
      <c r="C410" t="inlineStr">
        <is>
          <t>MG6</t>
        </is>
      </c>
      <c r="D410" t="n">
        <v>89.87</v>
      </c>
      <c r="E410" t="n">
        <v>35840</v>
      </c>
      <c r="F410" t="n">
        <v/>
      </c>
      <c r="G410" t="n">
        <v/>
      </c>
      <c r="H410" t="n">
        <v>0.2378</v>
      </c>
      <c r="I410" t="n">
        <v/>
      </c>
      <c r="J410" t="n">
        <v>71197</v>
      </c>
      <c r="K410" t="n">
        <v>16934</v>
      </c>
    </row>
    <row r="411">
      <c r="A411" t="n">
        <v>2024</v>
      </c>
      <c r="B411" t="n">
        <v>3</v>
      </c>
      <c r="C411" t="inlineStr">
        <is>
          <t>MG6</t>
        </is>
      </c>
      <c r="D411" t="n">
        <v>8.01</v>
      </c>
      <c r="E411" t="n">
        <v>5376</v>
      </c>
      <c r="F411" t="n">
        <v/>
      </c>
      <c r="G411" t="n">
        <v/>
      </c>
      <c r="H411" t="n">
        <v>0.2428</v>
      </c>
      <c r="I411" t="n">
        <v/>
      </c>
      <c r="J411" t="n">
        <v>51152</v>
      </c>
      <c r="K411" t="n">
        <v>12419.74</v>
      </c>
    </row>
    <row r="412">
      <c r="A412" t="n">
        <v>2024</v>
      </c>
      <c r="B412" t="n">
        <v>4</v>
      </c>
      <c r="C412" t="inlineStr">
        <is>
          <t>MG6</t>
        </is>
      </c>
      <c r="D412" t="n">
        <v>60.16</v>
      </c>
      <c r="E412" t="n">
        <v>20237</v>
      </c>
      <c r="F412" t="n">
        <v/>
      </c>
      <c r="G412" t="n">
        <v/>
      </c>
      <c r="H412" t="n">
        <v>0.2416</v>
      </c>
      <c r="I412" t="n">
        <v/>
      </c>
      <c r="J412" t="n">
        <v>45316</v>
      </c>
      <c r="K412" t="n">
        <v>10948.47</v>
      </c>
    </row>
    <row r="413">
      <c r="A413" t="n">
        <v>2024</v>
      </c>
      <c r="B413" t="n">
        <v>5</v>
      </c>
      <c r="C413" t="inlineStr">
        <is>
          <t>MG6</t>
        </is>
      </c>
      <c r="D413" t="n">
        <v>32.22</v>
      </c>
      <c r="E413" t="n">
        <v>12170</v>
      </c>
      <c r="F413" t="n">
        <v/>
      </c>
      <c r="G413" t="n">
        <v/>
      </c>
      <c r="H413" t="n">
        <v>0.2507</v>
      </c>
      <c r="I413" t="n">
        <v/>
      </c>
      <c r="J413" t="n">
        <v>51330</v>
      </c>
      <c r="K413" t="n">
        <v>12868.58</v>
      </c>
    </row>
    <row r="414">
      <c r="A414" t="n">
        <v>2024</v>
      </c>
      <c r="B414" t="n">
        <v>6</v>
      </c>
      <c r="C414" t="inlineStr">
        <is>
          <t>MG6</t>
        </is>
      </c>
      <c r="D414" t="n">
        <v>27.62</v>
      </c>
      <c r="E414" t="n">
        <v>11200</v>
      </c>
      <c r="F414" t="n">
        <v/>
      </c>
      <c r="G414" t="n">
        <v/>
      </c>
      <c r="H414" t="n">
        <v>0.2722</v>
      </c>
      <c r="I414" t="n">
        <v/>
      </c>
      <c r="J414" t="n">
        <v>42151</v>
      </c>
      <c r="K414" t="n">
        <v>11473.9</v>
      </c>
    </row>
    <row r="415">
      <c r="A415" t="n">
        <v>2024</v>
      </c>
      <c r="B415" t="n">
        <v>7</v>
      </c>
      <c r="C415" t="inlineStr">
        <is>
          <t>MG6</t>
        </is>
      </c>
      <c r="D415" t="n">
        <v>201.4</v>
      </c>
      <c r="E415" t="n">
        <v>81760</v>
      </c>
      <c r="F415" t="n">
        <v/>
      </c>
      <c r="G415" t="n">
        <v/>
      </c>
      <c r="H415" t="n">
        <v>0.287</v>
      </c>
      <c r="I415" t="n">
        <v/>
      </c>
      <c r="J415" t="n">
        <v>67581</v>
      </c>
      <c r="K415" t="n">
        <v>19396.73</v>
      </c>
    </row>
    <row r="416">
      <c r="A416" t="n">
        <v>2024</v>
      </c>
      <c r="B416" t="n">
        <v>8</v>
      </c>
      <c r="C416" t="inlineStr">
        <is>
          <t>MG6</t>
        </is>
      </c>
      <c r="D416" t="n">
        <v>149.7</v>
      </c>
      <c r="E416" t="n">
        <v>9756</v>
      </c>
      <c r="F416" t="n">
        <v/>
      </c>
      <c r="G416" t="n">
        <v/>
      </c>
      <c r="H416" t="n">
        <v>0.3047</v>
      </c>
      <c r="I416" t="n">
        <v/>
      </c>
      <c r="J416" t="n">
        <v>44796</v>
      </c>
      <c r="K416" t="n">
        <v>13651.04</v>
      </c>
    </row>
    <row r="417">
      <c r="A417" t="n">
        <v>2024</v>
      </c>
      <c r="B417" t="n">
        <v>9</v>
      </c>
      <c r="C417" t="inlineStr">
        <is>
          <t>MG6</t>
        </is>
      </c>
      <c r="D417" t="n">
        <v>39.27</v>
      </c>
      <c r="E417" t="n">
        <v>10745</v>
      </c>
      <c r="F417" t="n">
        <v/>
      </c>
      <c r="G417" t="n">
        <v/>
      </c>
      <c r="H417" t="n">
        <v>0.2904</v>
      </c>
      <c r="I417" t="n">
        <v/>
      </c>
      <c r="J417" t="n">
        <v>52599</v>
      </c>
      <c r="K417" t="n">
        <v>15277.15</v>
      </c>
    </row>
    <row r="418">
      <c r="A418" t="n">
        <v>2024</v>
      </c>
      <c r="B418" t="n">
        <v>10</v>
      </c>
      <c r="C418" t="inlineStr">
        <is>
          <t>MG6</t>
        </is>
      </c>
      <c r="D418" t="n">
        <v>105.75</v>
      </c>
      <c r="E418" t="n">
        <v>31310</v>
      </c>
      <c r="F418" t="n">
        <v/>
      </c>
      <c r="G418" t="n">
        <v/>
      </c>
      <c r="H418" t="n">
        <v>0.2856</v>
      </c>
      <c r="I418" t="n">
        <v/>
      </c>
      <c r="J418" t="n">
        <v>54362</v>
      </c>
      <c r="K418" t="n">
        <v>15523.99</v>
      </c>
    </row>
    <row r="419">
      <c r="A419" t="n">
        <v>2024</v>
      </c>
      <c r="B419" t="n">
        <v>11</v>
      </c>
      <c r="C419" t="inlineStr">
        <is>
          <t>MG6</t>
        </is>
      </c>
      <c r="D419" t="n">
        <v>170.5</v>
      </c>
      <c r="E419" t="n">
        <v>20105</v>
      </c>
      <c r="F419" t="n">
        <v>1071.04</v>
      </c>
      <c r="G419" t="n">
        <v/>
      </c>
      <c r="H419" t="n">
        <v>0.307</v>
      </c>
      <c r="I419" t="n">
        <v>328.80928</v>
      </c>
      <c r="J419" t="n">
        <v>64157</v>
      </c>
      <c r="K419" t="n">
        <v>19751.41</v>
      </c>
    </row>
    <row r="420">
      <c r="A420" t="n">
        <v>2024</v>
      </c>
      <c r="B420" t="n">
        <v>12</v>
      </c>
      <c r="C420" t="inlineStr">
        <is>
          <t>MG6</t>
        </is>
      </c>
      <c r="D420" t="n">
        <v>54.1</v>
      </c>
      <c r="E420" t="n">
        <v>18252</v>
      </c>
      <c r="F420" t="n">
        <v>888.6700000000001</v>
      </c>
      <c r="G420" t="n">
        <v/>
      </c>
      <c r="H420" t="n">
        <v>0.331</v>
      </c>
      <c r="I420" t="n">
        <v>294.14977</v>
      </c>
      <c r="J420" t="n">
        <v>51593</v>
      </c>
      <c r="K420" t="n">
        <v>17063.94</v>
      </c>
    </row>
    <row r="421">
      <c r="A421" t="n">
        <v>2025</v>
      </c>
      <c r="B421" t="n">
        <v>1</v>
      </c>
      <c r="C421" t="inlineStr">
        <is>
          <t>MG6</t>
        </is>
      </c>
      <c r="D421" t="n">
        <v>106.1</v>
      </c>
      <c r="E421" t="n">
        <v>40745</v>
      </c>
      <c r="F421" t="n">
        <v>1432.46</v>
      </c>
      <c r="G421" t="n">
        <v/>
      </c>
      <c r="H421" t="n">
        <v>0.335</v>
      </c>
      <c r="I421" t="n">
        <v>479.8741000000001</v>
      </c>
      <c r="J421" t="n">
        <v>61904</v>
      </c>
      <c r="K421" t="n">
        <v>20875.39</v>
      </c>
    </row>
    <row r="422">
      <c r="A422" t="n">
        <v>2025</v>
      </c>
      <c r="B422" t="n">
        <v>2</v>
      </c>
      <c r="C422" t="inlineStr">
        <is>
          <t>MG6</t>
        </is>
      </c>
      <c r="D422" t="n">
        <v>58.3</v>
      </c>
      <c r="E422" t="n">
        <v>23470</v>
      </c>
      <c r="F422" t="n">
        <v>1260.74</v>
      </c>
      <c r="G422" t="n">
        <v/>
      </c>
      <c r="H422" t="n">
        <v>0.334</v>
      </c>
      <c r="I422" t="n">
        <v>421.08716</v>
      </c>
      <c r="J422" t="n">
        <v>60366</v>
      </c>
      <c r="K422" t="n">
        <v>20173.7</v>
      </c>
    </row>
    <row r="423">
      <c r="A423" t="n">
        <v>2025</v>
      </c>
      <c r="B423" t="n">
        <v>3</v>
      </c>
      <c r="C423" t="inlineStr">
        <is>
          <t>MG6</t>
        </is>
      </c>
      <c r="D423" t="n">
        <v>117</v>
      </c>
      <c r="E423" t="n">
        <v>43809</v>
      </c>
      <c r="F423" t="n">
        <v>1940.01</v>
      </c>
      <c r="G423" t="n">
        <v/>
      </c>
      <c r="H423" t="n">
        <v>0.286</v>
      </c>
      <c r="I423" t="n">
        <v>554.84286</v>
      </c>
      <c r="J423" t="n">
        <v>58209</v>
      </c>
      <c r="K423" t="n">
        <v>16648.58</v>
      </c>
    </row>
    <row r="424">
      <c r="A424" t="n">
        <v>2025</v>
      </c>
      <c r="B424" t="n">
        <v>4</v>
      </c>
      <c r="C424" t="inlineStr">
        <is>
          <t>MG6</t>
        </is>
      </c>
      <c r="D424" t="n">
        <v>80.90000000000001</v>
      </c>
      <c r="E424" t="n">
        <v>26090</v>
      </c>
      <c r="F424" t="n">
        <v>1086.83</v>
      </c>
      <c r="G424" t="n">
        <v/>
      </c>
      <c r="H424" t="n">
        <v>0.2655</v>
      </c>
      <c r="I424" t="n">
        <v>288.553365</v>
      </c>
      <c r="J424" t="n">
        <v>41269</v>
      </c>
      <c r="K424" t="n">
        <v>10956.7</v>
      </c>
    </row>
    <row r="425">
      <c r="A425" t="n">
        <v>2025</v>
      </c>
      <c r="B425" t="n">
        <v>5</v>
      </c>
      <c r="C425" t="inlineStr">
        <is>
          <t>MG6</t>
        </is>
      </c>
      <c r="D425" t="n">
        <v>61.4</v>
      </c>
      <c r="E425" t="n">
        <v>22280</v>
      </c>
      <c r="F425" t="n">
        <v>923.1599999999999</v>
      </c>
      <c r="G425" t="n">
        <v/>
      </c>
      <c r="H425" t="n">
        <v>0.2575</v>
      </c>
      <c r="I425" t="n">
        <v>237.7137</v>
      </c>
      <c r="J425" t="n">
        <v>30809</v>
      </c>
      <c r="K425" t="n">
        <v>7932.95</v>
      </c>
    </row>
    <row r="426">
      <c r="A426" t="n">
        <v>2025</v>
      </c>
      <c r="B426" t="n">
        <v>6</v>
      </c>
      <c r="C426" t="inlineStr">
        <is>
          <t>MG6</t>
        </is>
      </c>
      <c r="D426" t="n">
        <v>118.2</v>
      </c>
      <c r="E426" t="n">
        <v>53907</v>
      </c>
      <c r="F426" t="n">
        <v>1403.140000000001</v>
      </c>
      <c r="G426" t="n">
        <v/>
      </c>
      <c r="H426" t="n">
        <v>0.355</v>
      </c>
      <c r="I426" t="n">
        <v>498.1147000000003</v>
      </c>
      <c r="J426" t="n">
        <v>33644</v>
      </c>
      <c r="K426" t="n">
        <v>11949.42</v>
      </c>
    </row>
    <row r="427">
      <c r="A427" t="n">
        <v>2025</v>
      </c>
      <c r="B427" t="n">
        <v>7</v>
      </c>
      <c r="C427" t="inlineStr">
        <is>
          <t>MG6</t>
        </is>
      </c>
      <c r="D427" t="n">
        <v>107.8</v>
      </c>
      <c r="E427" t="n">
        <v>41601</v>
      </c>
      <c r="F427" t="n">
        <v>1518.73</v>
      </c>
      <c r="G427" t="n">
        <v/>
      </c>
      <c r="H427" t="n">
        <v>0.296</v>
      </c>
      <c r="I427" t="n">
        <v>449.54408</v>
      </c>
      <c r="J427" t="n">
        <v>51483</v>
      </c>
      <c r="K427" t="n">
        <v>15262.33</v>
      </c>
    </row>
    <row r="428">
      <c r="A428" t="n">
        <v>2025</v>
      </c>
      <c r="B428" t="n">
        <v>8</v>
      </c>
      <c r="C428" t="inlineStr">
        <is>
          <t>MG6</t>
        </is>
      </c>
      <c r="D428" t="n">
        <v>70.04000000000001</v>
      </c>
      <c r="E428" t="n">
        <v>32592</v>
      </c>
      <c r="F428" t="n">
        <v>697.3500000000004</v>
      </c>
      <c r="G428" t="n">
        <v/>
      </c>
      <c r="H428" t="n">
        <v>0.3268</v>
      </c>
      <c r="I428" t="n">
        <v/>
      </c>
      <c r="J428" t="n">
        <v>17650</v>
      </c>
      <c r="K428" t="n">
        <v>5768.63</v>
      </c>
    </row>
    <row r="429">
      <c r="A429" t="n">
        <v>2025</v>
      </c>
      <c r="B429" t="n">
        <v>9</v>
      </c>
      <c r="C429" t="inlineStr">
        <is>
          <t>MG6</t>
        </is>
      </c>
      <c r="D429" t="n">
        <v>245.35</v>
      </c>
      <c r="E429" t="n">
        <v>114670</v>
      </c>
      <c r="F429" t="n">
        <v>2729.530000000001</v>
      </c>
      <c r="G429" t="n">
        <v/>
      </c>
      <c r="H429" t="n">
        <v>0.2732</v>
      </c>
      <c r="I429" t="n">
        <v/>
      </c>
      <c r="J429" t="n">
        <v>47214</v>
      </c>
      <c r="K429" t="n">
        <v>12897.86</v>
      </c>
    </row>
    <row r="430">
      <c r="A430" t="n">
        <v>2025</v>
      </c>
      <c r="B430" t="n">
        <v>10</v>
      </c>
      <c r="C430" t="inlineStr">
        <is>
          <t>MG6</t>
        </is>
      </c>
      <c r="D430" t="n">
        <v>39.54</v>
      </c>
      <c r="E430" t="n">
        <v>14168</v>
      </c>
      <c r="F430" t="n">
        <v>1593.539999999999</v>
      </c>
      <c r="G430" t="n">
        <v/>
      </c>
      <c r="H430" t="n">
        <v>0.2134</v>
      </c>
      <c r="I430" t="n">
        <v/>
      </c>
      <c r="J430" t="n">
        <v>47533</v>
      </c>
      <c r="K430" t="n">
        <v>13101.09</v>
      </c>
    </row>
    <row r="431">
      <c r="A431" t="n">
        <v>2025</v>
      </c>
      <c r="B431" t="n">
        <v>11</v>
      </c>
      <c r="C431" t="inlineStr">
        <is>
          <t>MG6</t>
        </is>
      </c>
      <c r="D431" t="n">
        <v/>
      </c>
      <c r="E431" t="n">
        <v/>
      </c>
      <c r="F431" t="n">
        <v/>
      </c>
      <c r="G431" t="n">
        <v/>
      </c>
      <c r="H431" t="n">
        <v>0</v>
      </c>
      <c r="I431" t="n">
        <v/>
      </c>
      <c r="J431" t="n">
        <v>0</v>
      </c>
      <c r="K431" t="n">
        <v>0</v>
      </c>
    </row>
    <row r="432">
      <c r="A432" t="n">
        <v>2025</v>
      </c>
      <c r="B432" t="n">
        <v>12</v>
      </c>
      <c r="C432" t="inlineStr">
        <is>
          <t>MG6</t>
        </is>
      </c>
      <c r="D432" t="n">
        <v/>
      </c>
      <c r="E432" t="n">
        <v/>
      </c>
      <c r="F432" t="n">
        <v/>
      </c>
      <c r="G432" t="n">
        <v/>
      </c>
      <c r="H432" t="n">
        <v>0</v>
      </c>
      <c r="I432" t="n">
        <v/>
      </c>
      <c r="J432" t="n">
        <v>0</v>
      </c>
      <c r="K432" t="n">
        <v>0</v>
      </c>
    </row>
    <row r="433">
      <c r="A433" t="n">
        <v>2024</v>
      </c>
      <c r="B433" t="n">
        <v>1</v>
      </c>
      <c r="C433" t="inlineStr">
        <is>
          <t>MG7</t>
        </is>
      </c>
      <c r="D433" t="n">
        <v>0</v>
      </c>
      <c r="E433" t="n">
        <v>0</v>
      </c>
      <c r="F433" t="n">
        <v/>
      </c>
      <c r="G433" t="n">
        <v/>
      </c>
      <c r="H433" t="n">
        <v>0.2557</v>
      </c>
      <c r="I433" t="n">
        <v/>
      </c>
      <c r="J433" t="n">
        <v>64934</v>
      </c>
      <c r="K433" t="n">
        <v>16601.39</v>
      </c>
    </row>
    <row r="434">
      <c r="A434" t="n">
        <v>2024</v>
      </c>
      <c r="B434" t="n">
        <v>2</v>
      </c>
      <c r="C434" t="inlineStr">
        <is>
          <t>MG7</t>
        </is>
      </c>
      <c r="D434" t="n">
        <v>107.8</v>
      </c>
      <c r="E434" t="n">
        <v>35872</v>
      </c>
      <c r="F434" t="n">
        <v/>
      </c>
      <c r="G434" t="n">
        <v/>
      </c>
      <c r="H434" t="n">
        <v>0.2378</v>
      </c>
      <c r="I434" t="n">
        <v/>
      </c>
      <c r="J434" t="n">
        <v>71197</v>
      </c>
      <c r="K434" t="n">
        <v>16934</v>
      </c>
    </row>
    <row r="435">
      <c r="A435" t="n">
        <v>2024</v>
      </c>
      <c r="B435" t="n">
        <v>3</v>
      </c>
      <c r="C435" t="inlineStr">
        <is>
          <t>MG7</t>
        </is>
      </c>
      <c r="D435" t="n">
        <v>0</v>
      </c>
      <c r="E435" t="n">
        <v>1</v>
      </c>
      <c r="F435" t="n">
        <v/>
      </c>
      <c r="G435" t="n">
        <v/>
      </c>
      <c r="H435" t="n">
        <v>0.2428</v>
      </c>
      <c r="I435" t="n">
        <v/>
      </c>
      <c r="J435" t="n">
        <v>51152</v>
      </c>
      <c r="K435" t="n">
        <v>12419.74</v>
      </c>
    </row>
    <row r="436">
      <c r="A436" t="n">
        <v>2024</v>
      </c>
      <c r="B436" t="n">
        <v>4</v>
      </c>
      <c r="C436" t="inlineStr">
        <is>
          <t>MG7</t>
        </is>
      </c>
      <c r="D436" t="n">
        <v>47.6</v>
      </c>
      <c r="E436" t="n">
        <v>10590</v>
      </c>
      <c r="F436" t="n">
        <v/>
      </c>
      <c r="G436" t="n">
        <v/>
      </c>
      <c r="H436" t="n">
        <v>0.2416</v>
      </c>
      <c r="I436" t="n">
        <v/>
      </c>
      <c r="J436" t="n">
        <v>45316</v>
      </c>
      <c r="K436" t="n">
        <v>10948.47</v>
      </c>
    </row>
    <row r="437">
      <c r="A437" t="n">
        <v>2024</v>
      </c>
      <c r="B437" t="n">
        <v>5</v>
      </c>
      <c r="C437" t="inlineStr">
        <is>
          <t>MG7</t>
        </is>
      </c>
      <c r="D437" t="n">
        <v>122.14</v>
      </c>
      <c r="E437" t="n">
        <v>43830</v>
      </c>
      <c r="F437" t="n">
        <v/>
      </c>
      <c r="G437" t="n">
        <v/>
      </c>
      <c r="H437" t="n">
        <v>0.2507</v>
      </c>
      <c r="I437" t="n">
        <v/>
      </c>
      <c r="J437" t="n">
        <v>51330</v>
      </c>
      <c r="K437" t="n">
        <v>12868.58</v>
      </c>
    </row>
    <row r="438">
      <c r="A438" t="n">
        <v>2024</v>
      </c>
      <c r="B438" t="n">
        <v>6</v>
      </c>
      <c r="C438" t="inlineStr">
        <is>
          <t>MG7</t>
        </is>
      </c>
      <c r="D438" t="n">
        <v>37.02</v>
      </c>
      <c r="E438" t="n">
        <v>11150</v>
      </c>
      <c r="F438" t="n">
        <v/>
      </c>
      <c r="G438" t="n">
        <v/>
      </c>
      <c r="H438" t="n">
        <v>0.2722</v>
      </c>
      <c r="I438" t="n">
        <v/>
      </c>
      <c r="J438" t="n">
        <v>42151</v>
      </c>
      <c r="K438" t="n">
        <v>11473.9</v>
      </c>
    </row>
    <row r="439">
      <c r="A439" t="n">
        <v>2024</v>
      </c>
      <c r="B439" t="n">
        <v>7</v>
      </c>
      <c r="C439" t="inlineStr">
        <is>
          <t>MG7</t>
        </is>
      </c>
      <c r="D439" t="n">
        <v>30.45</v>
      </c>
      <c r="E439" t="n">
        <v>10071</v>
      </c>
      <c r="F439" t="n">
        <v/>
      </c>
      <c r="G439" t="n">
        <v/>
      </c>
      <c r="H439" t="n">
        <v>0.287</v>
      </c>
      <c r="I439" t="n">
        <v/>
      </c>
      <c r="J439" t="n">
        <v>67581</v>
      </c>
      <c r="K439" t="n">
        <v>19396.73</v>
      </c>
    </row>
    <row r="440">
      <c r="A440" t="n">
        <v>2024</v>
      </c>
      <c r="B440" t="n">
        <v>8</v>
      </c>
      <c r="C440" t="inlineStr">
        <is>
          <t>MG7</t>
        </is>
      </c>
      <c r="D440" t="n">
        <v>39.08</v>
      </c>
      <c r="E440" t="n">
        <v>14982</v>
      </c>
      <c r="F440" t="n">
        <v/>
      </c>
      <c r="G440" t="n">
        <v/>
      </c>
      <c r="H440" t="n">
        <v>0.3047</v>
      </c>
      <c r="I440" t="n">
        <v/>
      </c>
      <c r="J440" t="n">
        <v>44796</v>
      </c>
      <c r="K440" t="n">
        <v>13651.04</v>
      </c>
    </row>
    <row r="441">
      <c r="A441" t="n">
        <v>2024</v>
      </c>
      <c r="B441" t="n">
        <v>9</v>
      </c>
      <c r="C441" t="inlineStr">
        <is>
          <t>MG7</t>
        </is>
      </c>
      <c r="D441" t="n">
        <v>30.35</v>
      </c>
      <c r="E441" t="n">
        <v>11340</v>
      </c>
      <c r="F441" t="n">
        <v/>
      </c>
      <c r="G441" t="n">
        <v/>
      </c>
      <c r="H441" t="n">
        <v>0.2904</v>
      </c>
      <c r="I441" t="n">
        <v/>
      </c>
      <c r="J441" t="n">
        <v>52599</v>
      </c>
      <c r="K441" t="n">
        <v>15277.15</v>
      </c>
    </row>
    <row r="442">
      <c r="A442" t="n">
        <v>2024</v>
      </c>
      <c r="B442" t="n">
        <v>10</v>
      </c>
      <c r="C442" t="inlineStr">
        <is>
          <t>MG7</t>
        </is>
      </c>
      <c r="D442" t="n">
        <v>108.29</v>
      </c>
      <c r="E442" t="n">
        <v>53551</v>
      </c>
      <c r="F442" t="n">
        <v/>
      </c>
      <c r="G442" t="n">
        <v/>
      </c>
      <c r="H442" t="n">
        <v>0.2856</v>
      </c>
      <c r="I442" t="n">
        <v/>
      </c>
      <c r="J442" t="n">
        <v>54362</v>
      </c>
      <c r="K442" t="n">
        <v>15523.99</v>
      </c>
    </row>
    <row r="443">
      <c r="A443" t="n">
        <v>2024</v>
      </c>
      <c r="B443" t="n">
        <v>11</v>
      </c>
      <c r="C443" t="inlineStr">
        <is>
          <t>MG7</t>
        </is>
      </c>
      <c r="D443" t="n">
        <v>45.7</v>
      </c>
      <c r="E443" t="n">
        <v>16163</v>
      </c>
      <c r="F443" t="n">
        <v>934.72</v>
      </c>
      <c r="G443" t="n">
        <v/>
      </c>
      <c r="H443" t="n">
        <v>0.307</v>
      </c>
      <c r="I443" t="n">
        <v>286.95904</v>
      </c>
      <c r="J443" t="n">
        <v>64157</v>
      </c>
      <c r="K443" t="n">
        <v>19751.41</v>
      </c>
    </row>
    <row r="444">
      <c r="A444" t="n">
        <v>2024</v>
      </c>
      <c r="B444" t="n">
        <v>12</v>
      </c>
      <c r="C444" t="inlineStr">
        <is>
          <t>MG7</t>
        </is>
      </c>
      <c r="D444" t="n">
        <v>21.1</v>
      </c>
      <c r="E444" t="n">
        <v>9100</v>
      </c>
      <c r="F444" t="n">
        <v>395.78</v>
      </c>
      <c r="G444" t="n">
        <v/>
      </c>
      <c r="H444" t="n">
        <v>0.331</v>
      </c>
      <c r="I444" t="n">
        <v>131.00318</v>
      </c>
      <c r="J444" t="n">
        <v>51593</v>
      </c>
      <c r="K444" t="n">
        <v>17063.94</v>
      </c>
    </row>
    <row r="445">
      <c r="A445" t="n">
        <v>2025</v>
      </c>
      <c r="B445" t="n">
        <v>1</v>
      </c>
      <c r="C445" t="inlineStr">
        <is>
          <t>MG7</t>
        </is>
      </c>
      <c r="D445" t="n">
        <v>72.59999999999999</v>
      </c>
      <c r="E445" t="n">
        <v>20219</v>
      </c>
      <c r="F445" t="n">
        <v>1069.29</v>
      </c>
      <c r="G445" t="n">
        <v/>
      </c>
      <c r="H445" t="n">
        <v>0.335</v>
      </c>
      <c r="I445" t="n">
        <v>358.21215</v>
      </c>
      <c r="J445" t="n">
        <v>61904</v>
      </c>
      <c r="K445" t="n">
        <v>20875.39</v>
      </c>
    </row>
    <row r="446">
      <c r="A446" t="n">
        <v>2025</v>
      </c>
      <c r="B446" t="n">
        <v>2</v>
      </c>
      <c r="C446" t="inlineStr">
        <is>
          <t>MG7</t>
        </is>
      </c>
      <c r="D446" t="n">
        <v>180.6</v>
      </c>
      <c r="E446" t="n">
        <v>29367</v>
      </c>
      <c r="F446" t="n">
        <v>1530.02</v>
      </c>
      <c r="G446" t="n">
        <v/>
      </c>
      <c r="H446" t="n">
        <v>0.334</v>
      </c>
      <c r="I446" t="n">
        <v>511.02668</v>
      </c>
      <c r="J446" t="n">
        <v>60366</v>
      </c>
      <c r="K446" t="n">
        <v>20173.7</v>
      </c>
    </row>
    <row r="447">
      <c r="A447" t="n">
        <v>2025</v>
      </c>
      <c r="B447" t="n">
        <v>3</v>
      </c>
      <c r="C447" t="inlineStr">
        <is>
          <t>MG7</t>
        </is>
      </c>
      <c r="D447" t="n">
        <v>0</v>
      </c>
      <c r="E447" t="n">
        <v>0</v>
      </c>
      <c r="F447" t="n">
        <v>299.3999999999996</v>
      </c>
      <c r="G447" t="n">
        <v/>
      </c>
      <c r="H447" t="n">
        <v>0.286</v>
      </c>
      <c r="I447" t="n">
        <v>85.62839999999987</v>
      </c>
      <c r="J447" t="n">
        <v>58209</v>
      </c>
      <c r="K447" t="n">
        <v>16648.58</v>
      </c>
    </row>
    <row r="448">
      <c r="A448" t="n">
        <v>2025</v>
      </c>
      <c r="B448" t="n">
        <v>4</v>
      </c>
      <c r="C448" t="inlineStr">
        <is>
          <t>MG7</t>
        </is>
      </c>
      <c r="D448" t="n">
        <v>0</v>
      </c>
      <c r="E448" t="n">
        <v>0</v>
      </c>
      <c r="F448" t="n">
        <v>83.36999999999989</v>
      </c>
      <c r="G448" t="n">
        <v/>
      </c>
      <c r="H448" t="n">
        <v>0.2655</v>
      </c>
      <c r="I448" t="n">
        <v>22.13473499999997</v>
      </c>
      <c r="J448" t="n">
        <v>41269</v>
      </c>
      <c r="K448" t="n">
        <v>10956.7</v>
      </c>
    </row>
    <row r="449">
      <c r="A449" t="n">
        <v>2025</v>
      </c>
      <c r="B449" t="n">
        <v>5</v>
      </c>
      <c r="C449" t="inlineStr">
        <is>
          <t>MG7</t>
        </is>
      </c>
      <c r="D449" t="n">
        <v>0</v>
      </c>
      <c r="E449" t="n">
        <v>0</v>
      </c>
      <c r="F449" t="n">
        <v>64.69999999999982</v>
      </c>
      <c r="G449" t="n">
        <v/>
      </c>
      <c r="H449" t="n">
        <v>0.2575</v>
      </c>
      <c r="I449" t="n">
        <v>16.66024999999996</v>
      </c>
      <c r="J449" t="n">
        <v>30809</v>
      </c>
      <c r="K449" t="n">
        <v>7932.95</v>
      </c>
    </row>
    <row r="450">
      <c r="A450" t="n">
        <v>2025</v>
      </c>
      <c r="B450" t="n">
        <v>6</v>
      </c>
      <c r="C450" t="inlineStr">
        <is>
          <t>MG7</t>
        </is>
      </c>
      <c r="D450" t="n">
        <v>0</v>
      </c>
      <c r="E450" t="n">
        <v>0</v>
      </c>
      <c r="F450" t="n">
        <v>42.13000000000011</v>
      </c>
      <c r="G450" t="n">
        <v/>
      </c>
      <c r="H450" t="n">
        <v>0.355</v>
      </c>
      <c r="I450" t="n">
        <v>14.95615000000004</v>
      </c>
      <c r="J450" t="n">
        <v>33644</v>
      </c>
      <c r="K450" t="n">
        <v>11949.42</v>
      </c>
    </row>
    <row r="451">
      <c r="A451" t="n">
        <v>2025</v>
      </c>
      <c r="B451" t="n">
        <v>7</v>
      </c>
      <c r="C451" t="inlineStr">
        <is>
          <t>MG7</t>
        </is>
      </c>
      <c r="D451" t="n">
        <v>0</v>
      </c>
      <c r="E451" t="n">
        <v>0</v>
      </c>
      <c r="F451" t="n">
        <v>53.39999999999964</v>
      </c>
      <c r="G451" t="n">
        <v/>
      </c>
      <c r="H451" t="n">
        <v>0.296</v>
      </c>
      <c r="I451" t="n">
        <v>15.80639999999989</v>
      </c>
      <c r="J451" t="n">
        <v>51483</v>
      </c>
      <c r="K451" t="n">
        <v>15262.33</v>
      </c>
    </row>
    <row r="452">
      <c r="A452" t="n">
        <v>2025</v>
      </c>
      <c r="B452" t="n">
        <v>8</v>
      </c>
      <c r="C452" t="inlineStr">
        <is>
          <t>MG7</t>
        </is>
      </c>
      <c r="D452" t="n">
        <v>0</v>
      </c>
      <c r="E452" t="n">
        <v>0</v>
      </c>
      <c r="F452" t="n">
        <v>19.63000000000011</v>
      </c>
      <c r="G452" t="n">
        <v/>
      </c>
      <c r="H452" t="n">
        <v>0.3268</v>
      </c>
      <c r="I452" t="n">
        <v/>
      </c>
      <c r="J452" t="n">
        <v>17650</v>
      </c>
      <c r="K452" t="n">
        <v>5768.63</v>
      </c>
    </row>
    <row r="453">
      <c r="A453" t="n">
        <v>2025</v>
      </c>
      <c r="B453" t="n">
        <v>9</v>
      </c>
      <c r="C453" t="inlineStr">
        <is>
          <t>MG7</t>
        </is>
      </c>
      <c r="D453" t="n">
        <v>18.71</v>
      </c>
      <c r="E453" t="n">
        <v>5980</v>
      </c>
      <c r="F453" t="n">
        <v>533.6899999999996</v>
      </c>
      <c r="G453" t="n">
        <v/>
      </c>
      <c r="H453" t="n">
        <v>0.2732</v>
      </c>
      <c r="I453" t="n">
        <v/>
      </c>
      <c r="J453" t="n">
        <v>47214</v>
      </c>
      <c r="K453" t="n">
        <v>12897.86</v>
      </c>
    </row>
    <row r="454">
      <c r="A454" t="n">
        <v>2025</v>
      </c>
      <c r="B454" t="n">
        <v>10</v>
      </c>
      <c r="C454" t="inlineStr">
        <is>
          <t>MG7</t>
        </is>
      </c>
      <c r="D454" t="n">
        <v>10.44</v>
      </c>
      <c r="E454" t="n">
        <v>2284</v>
      </c>
      <c r="F454" t="n">
        <v>1456.08</v>
      </c>
      <c r="G454" t="n">
        <v/>
      </c>
      <c r="H454" t="n">
        <v>0.2134</v>
      </c>
      <c r="I454" t="n">
        <v/>
      </c>
      <c r="J454" t="n">
        <v>47533</v>
      </c>
      <c r="K454" t="n">
        <v>13101.09</v>
      </c>
    </row>
    <row r="455">
      <c r="A455" t="n">
        <v>2025</v>
      </c>
      <c r="B455" t="n">
        <v>11</v>
      </c>
      <c r="C455" t="inlineStr">
        <is>
          <t>MG7</t>
        </is>
      </c>
      <c r="D455" t="n">
        <v/>
      </c>
      <c r="E455" t="n">
        <v/>
      </c>
      <c r="F455" t="n">
        <v/>
      </c>
      <c r="G455" t="n">
        <v/>
      </c>
      <c r="H455" t="n">
        <v>0</v>
      </c>
      <c r="I455" t="n">
        <v/>
      </c>
      <c r="J455" t="n">
        <v>0</v>
      </c>
      <c r="K455" t="n">
        <v>0</v>
      </c>
    </row>
    <row r="456">
      <c r="A456" t="n">
        <v>2025</v>
      </c>
      <c r="B456" t="n">
        <v>12</v>
      </c>
      <c r="C456" t="inlineStr">
        <is>
          <t>MG7</t>
        </is>
      </c>
      <c r="D456" t="n">
        <v/>
      </c>
      <c r="E456" t="n">
        <v/>
      </c>
      <c r="F456" t="n">
        <v/>
      </c>
      <c r="G456" t="n">
        <v/>
      </c>
      <c r="H456" t="n">
        <v>0</v>
      </c>
      <c r="I456" t="n">
        <v/>
      </c>
      <c r="J456" t="n">
        <v>0</v>
      </c>
      <c r="K456" t="n">
        <v>0</v>
      </c>
    </row>
    <row r="457">
      <c r="A457" t="n">
        <v>2024</v>
      </c>
      <c r="B457" t="n">
        <v>1</v>
      </c>
      <c r="C457" t="inlineStr">
        <is>
          <t>MG8</t>
        </is>
      </c>
      <c r="D457" t="n">
        <v>0</v>
      </c>
      <c r="E457" t="n">
        <v>0</v>
      </c>
      <c r="F457" t="n">
        <v/>
      </c>
      <c r="G457" t="n">
        <v/>
      </c>
      <c r="H457" t="n">
        <v>0.2557</v>
      </c>
      <c r="I457" t="n">
        <v/>
      </c>
      <c r="J457" t="n">
        <v>64934</v>
      </c>
      <c r="K457" t="n">
        <v>16601.39</v>
      </c>
    </row>
    <row r="458">
      <c r="A458" t="n">
        <v>2024</v>
      </c>
      <c r="B458" t="n">
        <v>2</v>
      </c>
      <c r="C458" t="inlineStr">
        <is>
          <t>MG8</t>
        </is>
      </c>
      <c r="D458" t="n">
        <v>25.11</v>
      </c>
      <c r="E458" t="n">
        <v>6018</v>
      </c>
      <c r="F458" t="n">
        <v/>
      </c>
      <c r="G458" t="n">
        <v/>
      </c>
      <c r="H458" t="n">
        <v>0.2378</v>
      </c>
      <c r="I458" t="n">
        <v/>
      </c>
      <c r="J458" t="n">
        <v>71197</v>
      </c>
      <c r="K458" t="n">
        <v>16934</v>
      </c>
    </row>
    <row r="459">
      <c r="A459" t="n">
        <v>2024</v>
      </c>
      <c r="B459" t="n">
        <v>3</v>
      </c>
      <c r="C459" t="inlineStr">
        <is>
          <t>MG8</t>
        </is>
      </c>
      <c r="D459" t="n">
        <v>0</v>
      </c>
      <c r="E459" t="n">
        <v>0</v>
      </c>
      <c r="F459" t="n">
        <v/>
      </c>
      <c r="G459" t="n">
        <v/>
      </c>
      <c r="H459" t="n">
        <v>0.2428</v>
      </c>
      <c r="I459" t="n">
        <v/>
      </c>
      <c r="J459" t="n">
        <v>51152</v>
      </c>
      <c r="K459" t="n">
        <v>12419.74</v>
      </c>
    </row>
    <row r="460">
      <c r="A460" t="n">
        <v>2024</v>
      </c>
      <c r="B460" t="n">
        <v>4</v>
      </c>
      <c r="C460" t="inlineStr">
        <is>
          <t>MG8</t>
        </is>
      </c>
      <c r="D460" t="n">
        <v>0</v>
      </c>
      <c r="E460" t="n">
        <v>180</v>
      </c>
      <c r="F460" t="n">
        <v/>
      </c>
      <c r="G460" t="n">
        <v/>
      </c>
      <c r="H460" t="n">
        <v>0.2416</v>
      </c>
      <c r="I460" t="n">
        <v/>
      </c>
      <c r="J460" t="n">
        <v>45316</v>
      </c>
      <c r="K460" t="n">
        <v>10948.47</v>
      </c>
    </row>
    <row r="461">
      <c r="A461" t="n">
        <v>2024</v>
      </c>
      <c r="B461" t="n">
        <v>5</v>
      </c>
      <c r="C461" t="inlineStr">
        <is>
          <t>MG8</t>
        </is>
      </c>
      <c r="D461" t="n">
        <v>82.95999999999999</v>
      </c>
      <c r="E461" t="n">
        <v>16386</v>
      </c>
      <c r="F461" t="n">
        <v/>
      </c>
      <c r="G461" t="n">
        <v/>
      </c>
      <c r="H461" t="n">
        <v>0.2507</v>
      </c>
      <c r="I461" t="n">
        <v/>
      </c>
      <c r="J461" t="n">
        <v>51330</v>
      </c>
      <c r="K461" t="n">
        <v>12868.58</v>
      </c>
    </row>
    <row r="462">
      <c r="A462" t="n">
        <v>2024</v>
      </c>
      <c r="B462" t="n">
        <v>6</v>
      </c>
      <c r="C462" t="inlineStr">
        <is>
          <t>MG8</t>
        </is>
      </c>
      <c r="D462" t="n">
        <v>62.68</v>
      </c>
      <c r="E462" t="n">
        <v>11200</v>
      </c>
      <c r="F462" t="n">
        <v/>
      </c>
      <c r="G462" t="n">
        <v/>
      </c>
      <c r="H462" t="n">
        <v>0.2722</v>
      </c>
      <c r="I462" t="n">
        <v/>
      </c>
      <c r="J462" t="n">
        <v>42151</v>
      </c>
      <c r="K462" t="n">
        <v>11473.9</v>
      </c>
    </row>
    <row r="463">
      <c r="A463" t="n">
        <v>2024</v>
      </c>
      <c r="B463" t="n">
        <v>7</v>
      </c>
      <c r="C463" t="inlineStr">
        <is>
          <t>MG8</t>
        </is>
      </c>
      <c r="D463" t="n">
        <v>0</v>
      </c>
      <c r="E463" t="n">
        <v>30</v>
      </c>
      <c r="F463" t="n">
        <v/>
      </c>
      <c r="G463" t="n">
        <v/>
      </c>
      <c r="H463" t="n">
        <v>0.287</v>
      </c>
      <c r="I463" t="n">
        <v/>
      </c>
      <c r="J463" t="n">
        <v>67581</v>
      </c>
      <c r="K463" t="n">
        <v>19396.73</v>
      </c>
    </row>
    <row r="464">
      <c r="A464" t="n">
        <v>2024</v>
      </c>
      <c r="B464" t="n">
        <v>8</v>
      </c>
      <c r="C464" t="inlineStr">
        <is>
          <t>MG8</t>
        </is>
      </c>
      <c r="D464" t="n">
        <v>29.47</v>
      </c>
      <c r="E464" t="n">
        <v>6543</v>
      </c>
      <c r="F464" t="n">
        <v/>
      </c>
      <c r="G464" t="n">
        <v/>
      </c>
      <c r="H464" t="n">
        <v>0.3047</v>
      </c>
      <c r="I464" t="n">
        <v/>
      </c>
      <c r="J464" t="n">
        <v>44796</v>
      </c>
      <c r="K464" t="n">
        <v>13651.04</v>
      </c>
    </row>
    <row r="465">
      <c r="A465" t="n">
        <v>2024</v>
      </c>
      <c r="B465" t="n">
        <v>9</v>
      </c>
      <c r="C465" t="inlineStr">
        <is>
          <t>MG8</t>
        </is>
      </c>
      <c r="D465" t="n">
        <v>38.6</v>
      </c>
      <c r="E465" t="n">
        <v>10129</v>
      </c>
      <c r="F465" t="n">
        <v/>
      </c>
      <c r="G465" t="n">
        <v/>
      </c>
      <c r="H465" t="n">
        <v>0.2904</v>
      </c>
      <c r="I465" t="n">
        <v/>
      </c>
      <c r="J465" t="n">
        <v>52599</v>
      </c>
      <c r="K465" t="n">
        <v>15277.15</v>
      </c>
    </row>
    <row r="466">
      <c r="A466" t="n">
        <v>2024</v>
      </c>
      <c r="B466" t="n">
        <v>10</v>
      </c>
      <c r="C466" t="inlineStr">
        <is>
          <t>MG8</t>
        </is>
      </c>
      <c r="D466" t="n">
        <v>18.75</v>
      </c>
      <c r="E466" t="n">
        <v>4893</v>
      </c>
      <c r="F466" t="n">
        <v/>
      </c>
      <c r="G466" t="n">
        <v/>
      </c>
      <c r="H466" t="n">
        <v>0.2856</v>
      </c>
      <c r="I466" t="n">
        <v/>
      </c>
      <c r="J466" t="n">
        <v>54362</v>
      </c>
      <c r="K466" t="n">
        <v>15523.99</v>
      </c>
    </row>
    <row r="467">
      <c r="A467" t="n">
        <v>2024</v>
      </c>
      <c r="B467" t="n">
        <v>11</v>
      </c>
      <c r="C467" t="inlineStr">
        <is>
          <t>MG8</t>
        </is>
      </c>
      <c r="D467" t="n">
        <v>59.8</v>
      </c>
      <c r="E467" t="n">
        <v>13260</v>
      </c>
      <c r="F467" t="n">
        <v>466.64</v>
      </c>
      <c r="G467" t="n">
        <v/>
      </c>
      <c r="H467" t="n">
        <v>0.307</v>
      </c>
      <c r="I467" t="n">
        <v>143.25848</v>
      </c>
      <c r="J467" t="n">
        <v>64157</v>
      </c>
      <c r="K467" t="n">
        <v>19751.41</v>
      </c>
    </row>
    <row r="468">
      <c r="A468" t="n">
        <v>2024</v>
      </c>
      <c r="B468" t="n">
        <v>12</v>
      </c>
      <c r="C468" t="inlineStr">
        <is>
          <t>MG8</t>
        </is>
      </c>
      <c r="D468" t="n">
        <v>28.8</v>
      </c>
      <c r="E468" t="n">
        <v>6188</v>
      </c>
      <c r="F468" t="n">
        <v>307.31</v>
      </c>
      <c r="G468" t="n">
        <v/>
      </c>
      <c r="H468" t="n">
        <v>0.331</v>
      </c>
      <c r="I468" t="n">
        <v>101.71961</v>
      </c>
      <c r="J468" t="n">
        <v>51593</v>
      </c>
      <c r="K468" t="n">
        <v>17063.94</v>
      </c>
    </row>
    <row r="469">
      <c r="A469" t="n">
        <v>2025</v>
      </c>
      <c r="B469" t="n">
        <v>1</v>
      </c>
      <c r="C469" t="inlineStr">
        <is>
          <t>MG8</t>
        </is>
      </c>
      <c r="D469" t="n">
        <v>111.7</v>
      </c>
      <c r="E469" t="n">
        <v>25438</v>
      </c>
      <c r="F469" t="n">
        <v>788.0599999999999</v>
      </c>
      <c r="G469" t="n">
        <v/>
      </c>
      <c r="H469" t="n">
        <v>0.335</v>
      </c>
      <c r="I469" t="n">
        <v>264.0001</v>
      </c>
      <c r="J469" t="n">
        <v>61904</v>
      </c>
      <c r="K469" t="n">
        <v>20875.39</v>
      </c>
    </row>
    <row r="470">
      <c r="A470" t="n">
        <v>2025</v>
      </c>
      <c r="B470" t="n">
        <v>2</v>
      </c>
      <c r="C470" t="inlineStr">
        <is>
          <t>MG8</t>
        </is>
      </c>
      <c r="D470" t="n">
        <v>18.1</v>
      </c>
      <c r="E470" t="n">
        <v>2223</v>
      </c>
      <c r="F470" t="n">
        <v>477.2199999999998</v>
      </c>
      <c r="G470" t="n">
        <v/>
      </c>
      <c r="H470" t="n">
        <v>0.334</v>
      </c>
      <c r="I470" t="n">
        <v>159.3914799999999</v>
      </c>
      <c r="J470" t="n">
        <v>60366</v>
      </c>
      <c r="K470" t="n">
        <v>20173.7</v>
      </c>
    </row>
    <row r="471">
      <c r="A471" t="n">
        <v>2025</v>
      </c>
      <c r="B471" t="n">
        <v>3</v>
      </c>
      <c r="C471" t="inlineStr">
        <is>
          <t>MG8</t>
        </is>
      </c>
      <c r="D471" t="n">
        <v>78.5</v>
      </c>
      <c r="E471" t="n">
        <v>11680</v>
      </c>
      <c r="F471" t="n">
        <v>934.2599999999998</v>
      </c>
      <c r="G471" t="n">
        <v/>
      </c>
      <c r="H471" t="n">
        <v>0.286</v>
      </c>
      <c r="I471" t="n">
        <v>267.1983599999999</v>
      </c>
      <c r="J471" t="n">
        <v>58209</v>
      </c>
      <c r="K471" t="n">
        <v>16648.58</v>
      </c>
    </row>
    <row r="472">
      <c r="A472" t="n">
        <v>2025</v>
      </c>
      <c r="B472" t="n">
        <v>4</v>
      </c>
      <c r="C472" t="inlineStr">
        <is>
          <t>MG8</t>
        </is>
      </c>
      <c r="D472" t="n">
        <v>0</v>
      </c>
      <c r="E472" t="n">
        <v>1</v>
      </c>
      <c r="F472" t="n">
        <v>233.3600000000001</v>
      </c>
      <c r="G472" t="n">
        <v/>
      </c>
      <c r="H472" t="n">
        <v>0.2655</v>
      </c>
      <c r="I472" t="n">
        <v>61.95708000000003</v>
      </c>
      <c r="J472" t="n">
        <v>41269</v>
      </c>
      <c r="K472" t="n">
        <v>10956.7</v>
      </c>
    </row>
    <row r="473">
      <c r="A473" t="n">
        <v>2025</v>
      </c>
      <c r="B473" t="n">
        <v>5</v>
      </c>
      <c r="C473" t="inlineStr">
        <is>
          <t>MG8</t>
        </is>
      </c>
      <c r="D473" t="n">
        <v>53.8</v>
      </c>
      <c r="E473" t="n">
        <v>13306</v>
      </c>
      <c r="F473" t="n">
        <v>470.6700000000001</v>
      </c>
      <c r="G473" t="n">
        <v/>
      </c>
      <c r="H473" t="n">
        <v>0.2575</v>
      </c>
      <c r="I473" t="n">
        <v>121.197525</v>
      </c>
      <c r="J473" t="n">
        <v>30809</v>
      </c>
      <c r="K473" t="n">
        <v>7932.95</v>
      </c>
    </row>
    <row r="474">
      <c r="A474" t="n">
        <v>2025</v>
      </c>
      <c r="B474" t="n">
        <v>6</v>
      </c>
      <c r="C474" t="inlineStr">
        <is>
          <t>MG8</t>
        </is>
      </c>
      <c r="D474" t="n">
        <v>10.6</v>
      </c>
      <c r="E474" t="n">
        <v>3176</v>
      </c>
      <c r="F474" t="n">
        <v>217.3200000000002</v>
      </c>
      <c r="G474" t="n">
        <v/>
      </c>
      <c r="H474" t="n">
        <v>0.355</v>
      </c>
      <c r="I474" t="n">
        <v>77.14860000000006</v>
      </c>
      <c r="J474" t="n">
        <v>33644</v>
      </c>
      <c r="K474" t="n">
        <v>11949.42</v>
      </c>
    </row>
    <row r="475">
      <c r="A475" t="n">
        <v>2025</v>
      </c>
      <c r="B475" t="n">
        <v>7</v>
      </c>
      <c r="C475" t="inlineStr">
        <is>
          <t>MG8</t>
        </is>
      </c>
      <c r="D475" t="n">
        <v>52.3</v>
      </c>
      <c r="E475" t="n">
        <v>10511</v>
      </c>
      <c r="F475" t="n">
        <v>618.5500000000002</v>
      </c>
      <c r="G475" t="n">
        <v/>
      </c>
      <c r="H475" t="n">
        <v>0.296</v>
      </c>
      <c r="I475" t="n">
        <v>183.0908000000001</v>
      </c>
      <c r="J475" t="n">
        <v>51483</v>
      </c>
      <c r="K475" t="n">
        <v>15262.33</v>
      </c>
    </row>
    <row r="476">
      <c r="A476" t="n">
        <v>2025</v>
      </c>
      <c r="B476" t="n">
        <v>8</v>
      </c>
      <c r="C476" t="inlineStr">
        <is>
          <t>MG8</t>
        </is>
      </c>
      <c r="D476" t="n">
        <v>32.94</v>
      </c>
      <c r="E476" t="n">
        <v>6472</v>
      </c>
      <c r="F476" t="n">
        <v>312.6599999999999</v>
      </c>
      <c r="G476" t="n">
        <v/>
      </c>
      <c r="H476" t="n">
        <v>0.3268</v>
      </c>
      <c r="I476" t="n">
        <v>102.177288</v>
      </c>
      <c r="J476" t="n">
        <v>17650</v>
      </c>
      <c r="K476" t="n">
        <v>5768.63</v>
      </c>
    </row>
    <row r="477">
      <c r="A477" t="n">
        <v>2025</v>
      </c>
      <c r="B477" t="n">
        <v>9</v>
      </c>
      <c r="C477" t="inlineStr">
        <is>
          <t>MG8</t>
        </is>
      </c>
      <c r="D477" t="n">
        <v>87.86</v>
      </c>
      <c r="E477" t="n">
        <v>16889</v>
      </c>
      <c r="F477" t="n">
        <v>841.5500000000002</v>
      </c>
      <c r="G477" t="n">
        <v/>
      </c>
      <c r="H477" t="n">
        <v>0.2732</v>
      </c>
      <c r="I477" t="n">
        <v>229.9114600000001</v>
      </c>
      <c r="J477" t="n">
        <v>47214</v>
      </c>
      <c r="K477" t="n">
        <v>12897.86</v>
      </c>
    </row>
    <row r="478">
      <c r="A478" t="n">
        <v>2025</v>
      </c>
      <c r="B478" t="n">
        <v>10</v>
      </c>
      <c r="C478" t="inlineStr">
        <is>
          <t>MG8</t>
        </is>
      </c>
      <c r="D478" t="n">
        <v>0</v>
      </c>
      <c r="E478" t="n">
        <v>0</v>
      </c>
      <c r="F478" t="n">
        <v>673.0900000000001</v>
      </c>
      <c r="G478" t="n">
        <v/>
      </c>
      <c r="H478" t="n">
        <v>0.2134</v>
      </c>
      <c r="I478" t="n">
        <v>143.637406</v>
      </c>
      <c r="J478" t="n">
        <v>47533</v>
      </c>
      <c r="K478" t="n">
        <v>13101.09</v>
      </c>
    </row>
    <row r="479">
      <c r="A479" t="n">
        <v>2025</v>
      </c>
      <c r="B479" t="n">
        <v>11</v>
      </c>
      <c r="C479" t="inlineStr">
        <is>
          <t>MG8</t>
        </is>
      </c>
      <c r="D479" t="n">
        <v/>
      </c>
      <c r="E479" t="n">
        <v/>
      </c>
      <c r="F479" t="n">
        <v/>
      </c>
      <c r="G479" t="n">
        <v/>
      </c>
      <c r="H479" t="n">
        <v>0</v>
      </c>
      <c r="I479" t="n">
        <v/>
      </c>
      <c r="J479" t="n">
        <v>0</v>
      </c>
      <c r="K479" t="n">
        <v>0</v>
      </c>
    </row>
    <row r="480">
      <c r="A480" t="n">
        <v>2025</v>
      </c>
      <c r="B480" t="n">
        <v>12</v>
      </c>
      <c r="C480" t="inlineStr">
        <is>
          <t>MG8</t>
        </is>
      </c>
      <c r="D480" t="n">
        <v/>
      </c>
      <c r="E480" t="n">
        <v/>
      </c>
      <c r="F480" t="n">
        <v/>
      </c>
      <c r="G480" t="n">
        <v/>
      </c>
      <c r="H480" t="n">
        <v>0</v>
      </c>
      <c r="I480" t="n">
        <v/>
      </c>
      <c r="J480" t="n">
        <v>0</v>
      </c>
      <c r="K480" t="n">
        <v>0</v>
      </c>
    </row>
    <row r="481">
      <c r="A481" t="n">
        <v>2024</v>
      </c>
      <c r="B481" t="n">
        <v>1</v>
      </c>
      <c r="C481" t="inlineStr">
        <is>
          <t>MMAN</t>
        </is>
      </c>
      <c r="D481" t="n">
        <v>0</v>
      </c>
      <c r="E481" t="n">
        <v>0</v>
      </c>
      <c r="F481" t="n">
        <v/>
      </c>
      <c r="G481" t="n">
        <v/>
      </c>
      <c r="H481" t="n">
        <v>0.2557</v>
      </c>
      <c r="I481" t="n">
        <v/>
      </c>
      <c r="J481" t="n">
        <v>64934</v>
      </c>
      <c r="K481" t="n">
        <v>16601.39</v>
      </c>
    </row>
    <row r="482">
      <c r="A482" t="n">
        <v>2024</v>
      </c>
      <c r="B482" t="n">
        <v>2</v>
      </c>
      <c r="C482" t="inlineStr">
        <is>
          <t>MMAN</t>
        </is>
      </c>
      <c r="D482" t="n">
        <v>0</v>
      </c>
      <c r="E482" t="n">
        <v>0</v>
      </c>
      <c r="F482" t="n">
        <v/>
      </c>
      <c r="G482" t="n">
        <v/>
      </c>
      <c r="H482" t="n">
        <v>0.2378</v>
      </c>
      <c r="I482" t="n">
        <v/>
      </c>
      <c r="J482" t="n">
        <v>71197</v>
      </c>
      <c r="K482" t="n">
        <v>16934</v>
      </c>
    </row>
    <row r="483">
      <c r="A483" t="n">
        <v>2024</v>
      </c>
      <c r="B483" t="n">
        <v>3</v>
      </c>
      <c r="C483" t="inlineStr">
        <is>
          <t>MMAN</t>
        </is>
      </c>
      <c r="D483" t="n">
        <v>173.01</v>
      </c>
      <c r="E483" t="n">
        <v>23719</v>
      </c>
      <c r="F483" t="n">
        <v/>
      </c>
      <c r="G483" t="n">
        <v/>
      </c>
      <c r="H483" t="n">
        <v>0.2428</v>
      </c>
      <c r="I483" t="n">
        <v/>
      </c>
      <c r="J483" t="n">
        <v>51152</v>
      </c>
      <c r="K483" t="n">
        <v>12419.74</v>
      </c>
    </row>
    <row r="484">
      <c r="A484" t="n">
        <v>2024</v>
      </c>
      <c r="B484" t="n">
        <v>4</v>
      </c>
      <c r="C484" t="inlineStr">
        <is>
          <t>MMAN</t>
        </is>
      </c>
      <c r="D484" t="n">
        <v>106.12</v>
      </c>
      <c r="E484" t="n">
        <v>13699</v>
      </c>
      <c r="F484" t="n">
        <v/>
      </c>
      <c r="G484" t="n">
        <v/>
      </c>
      <c r="H484" t="n">
        <v>0.2416</v>
      </c>
      <c r="I484" t="n">
        <v/>
      </c>
      <c r="J484" t="n">
        <v>45316</v>
      </c>
      <c r="K484" t="n">
        <v>10948.47</v>
      </c>
    </row>
    <row r="485">
      <c r="A485" t="n">
        <v>2024</v>
      </c>
      <c r="B485" t="n">
        <v>5</v>
      </c>
      <c r="C485" t="inlineStr">
        <is>
          <t>MMAN</t>
        </is>
      </c>
      <c r="D485" t="n">
        <v>115.74</v>
      </c>
      <c r="E485" t="n">
        <v>16240</v>
      </c>
      <c r="F485" t="n">
        <v/>
      </c>
      <c r="G485" t="n">
        <v/>
      </c>
      <c r="H485" t="n">
        <v>0.2507</v>
      </c>
      <c r="I485" t="n">
        <v/>
      </c>
      <c r="J485" t="n">
        <v>51330</v>
      </c>
      <c r="K485" t="n">
        <v>12868.58</v>
      </c>
    </row>
    <row r="486">
      <c r="A486" t="n">
        <v>2024</v>
      </c>
      <c r="B486" t="n">
        <v>6</v>
      </c>
      <c r="C486" t="inlineStr">
        <is>
          <t>MMAN</t>
        </is>
      </c>
      <c r="D486" t="n">
        <v>90.61</v>
      </c>
      <c r="E486" t="n">
        <v>13345</v>
      </c>
      <c r="F486" t="n">
        <v/>
      </c>
      <c r="G486" t="n">
        <v/>
      </c>
      <c r="H486" t="n">
        <v>0.2722</v>
      </c>
      <c r="I486" t="n">
        <v/>
      </c>
      <c r="J486" t="n">
        <v>42151</v>
      </c>
      <c r="K486" t="n">
        <v>11473.9</v>
      </c>
    </row>
    <row r="487">
      <c r="A487" t="n">
        <v>2024</v>
      </c>
      <c r="B487" t="n">
        <v>7</v>
      </c>
      <c r="C487" t="inlineStr">
        <is>
          <t>MMAN</t>
        </is>
      </c>
      <c r="D487" t="n">
        <v>145.33</v>
      </c>
      <c r="E487" t="n">
        <v>22870</v>
      </c>
      <c r="F487" t="n">
        <v/>
      </c>
      <c r="G487" t="n">
        <v/>
      </c>
      <c r="H487" t="n">
        <v>0.287</v>
      </c>
      <c r="I487" t="n">
        <v/>
      </c>
      <c r="J487" t="n">
        <v>67581</v>
      </c>
      <c r="K487" t="n">
        <v>19396.73</v>
      </c>
    </row>
    <row r="488">
      <c r="A488" t="n">
        <v>2024</v>
      </c>
      <c r="B488" t="n">
        <v>8</v>
      </c>
      <c r="C488" t="inlineStr">
        <is>
          <t>MMAN</t>
        </is>
      </c>
      <c r="D488" t="n">
        <v>21.28</v>
      </c>
      <c r="E488" t="n">
        <v>3600</v>
      </c>
      <c r="F488" t="n">
        <v/>
      </c>
      <c r="G488" t="n">
        <v/>
      </c>
      <c r="H488" t="n">
        <v>0.3047</v>
      </c>
      <c r="I488" t="n">
        <v/>
      </c>
      <c r="J488" t="n">
        <v>44796</v>
      </c>
      <c r="K488" t="n">
        <v>13651.04</v>
      </c>
    </row>
    <row r="489">
      <c r="A489" t="n">
        <v>2024</v>
      </c>
      <c r="B489" t="n">
        <v>9</v>
      </c>
      <c r="C489" t="inlineStr">
        <is>
          <t>MMAN</t>
        </is>
      </c>
      <c r="D489" t="n">
        <v>0</v>
      </c>
      <c r="E489" t="n">
        <v>0</v>
      </c>
      <c r="F489" t="n">
        <v/>
      </c>
      <c r="G489" t="n">
        <v/>
      </c>
      <c r="H489" t="n">
        <v>0.2904</v>
      </c>
      <c r="I489" t="n">
        <v/>
      </c>
      <c r="J489" t="n">
        <v>52599</v>
      </c>
      <c r="K489" t="n">
        <v>15277.15</v>
      </c>
    </row>
    <row r="490">
      <c r="A490" t="n">
        <v>2024</v>
      </c>
      <c r="B490" t="n">
        <v>10</v>
      </c>
      <c r="C490" t="inlineStr">
        <is>
          <t>MMAN</t>
        </is>
      </c>
      <c r="D490" t="n">
        <v>67.45</v>
      </c>
      <c r="E490" t="n">
        <v>14522</v>
      </c>
      <c r="F490" t="n">
        <v/>
      </c>
      <c r="G490" t="n">
        <v/>
      </c>
      <c r="H490" t="n">
        <v>0.2856</v>
      </c>
      <c r="I490" t="n">
        <v/>
      </c>
      <c r="J490" t="n">
        <v>54362</v>
      </c>
      <c r="K490" t="n">
        <v>15523.99</v>
      </c>
    </row>
    <row r="491">
      <c r="A491" t="n">
        <v>2024</v>
      </c>
      <c r="B491" t="n">
        <v>11</v>
      </c>
      <c r="C491" t="inlineStr">
        <is>
          <t>MMAN</t>
        </is>
      </c>
      <c r="D491" t="n">
        <v>159.6</v>
      </c>
      <c r="E491" t="n">
        <v>18477</v>
      </c>
      <c r="F491" t="n">
        <v>1673.1</v>
      </c>
      <c r="G491" t="n">
        <v/>
      </c>
      <c r="H491" t="n">
        <v>0.307</v>
      </c>
      <c r="I491" t="n">
        <v>513.6417</v>
      </c>
      <c r="J491" t="n">
        <v>64157</v>
      </c>
      <c r="K491" t="n">
        <v>19751.41</v>
      </c>
    </row>
    <row r="492">
      <c r="A492" t="n">
        <v>2024</v>
      </c>
      <c r="B492" t="n">
        <v>12</v>
      </c>
      <c r="C492" t="inlineStr">
        <is>
          <t>MMAN</t>
        </is>
      </c>
      <c r="D492" t="n">
        <v>62.9</v>
      </c>
      <c r="E492" t="n">
        <v>21006</v>
      </c>
      <c r="F492" t="n">
        <v>892.3699999999999</v>
      </c>
      <c r="G492" t="n">
        <v/>
      </c>
      <c r="H492" t="n">
        <v>0.331</v>
      </c>
      <c r="I492" t="n">
        <v>295.37447</v>
      </c>
      <c r="J492" t="n">
        <v>51593</v>
      </c>
      <c r="K492" t="n">
        <v>17063.94</v>
      </c>
    </row>
    <row r="493">
      <c r="A493" t="n">
        <v>2025</v>
      </c>
      <c r="B493" t="n">
        <v>1</v>
      </c>
      <c r="C493" t="inlineStr">
        <is>
          <t>MMAN</t>
        </is>
      </c>
      <c r="D493" t="n">
        <v>141.2</v>
      </c>
      <c r="E493" t="n">
        <v>23440</v>
      </c>
      <c r="F493" t="n">
        <v>1509.09</v>
      </c>
      <c r="G493" t="n">
        <v/>
      </c>
      <c r="H493" t="n">
        <v>0.335</v>
      </c>
      <c r="I493" t="n">
        <v>505.54515</v>
      </c>
      <c r="J493" t="n">
        <v>61904</v>
      </c>
      <c r="K493" t="n">
        <v>20875.39</v>
      </c>
    </row>
    <row r="494">
      <c r="A494" t="n">
        <v>2025</v>
      </c>
      <c r="B494" t="n">
        <v>2</v>
      </c>
      <c r="C494" t="inlineStr">
        <is>
          <t>MMAN</t>
        </is>
      </c>
      <c r="D494" t="n">
        <v>202</v>
      </c>
      <c r="E494" t="n">
        <v>38160</v>
      </c>
      <c r="F494" t="n">
        <v>2323.88</v>
      </c>
      <c r="G494" t="n">
        <v/>
      </c>
      <c r="H494" t="n">
        <v>0.334</v>
      </c>
      <c r="I494" t="n">
        <v>776.1759200000001</v>
      </c>
      <c r="J494" t="n">
        <v>60366</v>
      </c>
      <c r="K494" t="n">
        <v>20173.7</v>
      </c>
    </row>
    <row r="495">
      <c r="A495" t="n">
        <v>2025</v>
      </c>
      <c r="B495" t="n">
        <v>3</v>
      </c>
      <c r="C495" t="inlineStr">
        <is>
          <t>MMAN</t>
        </is>
      </c>
      <c r="D495" t="n">
        <v>115.5</v>
      </c>
      <c r="E495" t="n">
        <v>13390</v>
      </c>
      <c r="F495" t="n">
        <v>1366.179999999999</v>
      </c>
      <c r="G495" t="n">
        <v/>
      </c>
      <c r="H495" t="n">
        <v>0.286</v>
      </c>
      <c r="I495" t="n">
        <v>390.7274799999997</v>
      </c>
      <c r="J495" t="n">
        <v>58209</v>
      </c>
      <c r="K495" t="n">
        <v>16648.58</v>
      </c>
    </row>
    <row r="496">
      <c r="A496" t="n">
        <v>2025</v>
      </c>
      <c r="B496" t="n">
        <v>4</v>
      </c>
      <c r="C496" t="inlineStr">
        <is>
          <t>MMAN</t>
        </is>
      </c>
      <c r="D496" t="n">
        <v>48.3</v>
      </c>
      <c r="E496" t="n">
        <v>15990</v>
      </c>
      <c r="F496" t="n">
        <v>831.130000000001</v>
      </c>
      <c r="G496" t="n">
        <v/>
      </c>
      <c r="H496" t="n">
        <v>0.2655</v>
      </c>
      <c r="I496" t="n">
        <v>220.6650150000003</v>
      </c>
      <c r="J496" t="n">
        <v>41269</v>
      </c>
      <c r="K496" t="n">
        <v>10956.7</v>
      </c>
    </row>
    <row r="497">
      <c r="A497" t="n">
        <v>2025</v>
      </c>
      <c r="B497" t="n">
        <v>5</v>
      </c>
      <c r="C497" t="inlineStr">
        <is>
          <t>MMAN</t>
        </is>
      </c>
      <c r="D497" t="n">
        <v>6.5</v>
      </c>
      <c r="E497" t="n">
        <v>6160</v>
      </c>
      <c r="F497" t="n">
        <v>320.4099999999999</v>
      </c>
      <c r="G497" t="n">
        <v/>
      </c>
      <c r="H497" t="n">
        <v>0.2575</v>
      </c>
      <c r="I497" t="n">
        <v>82.50557499999998</v>
      </c>
      <c r="J497" t="n">
        <v>30809</v>
      </c>
      <c r="K497" t="n">
        <v>7932.95</v>
      </c>
    </row>
    <row r="498">
      <c r="A498" t="n">
        <v>2025</v>
      </c>
      <c r="B498" t="n">
        <v>6</v>
      </c>
      <c r="C498" t="inlineStr">
        <is>
          <t>MMAN</t>
        </is>
      </c>
      <c r="D498" t="n">
        <v>0</v>
      </c>
      <c r="E498" t="n">
        <v>0</v>
      </c>
      <c r="F498" t="n">
        <v>473.1800000000003</v>
      </c>
      <c r="G498" t="n">
        <v/>
      </c>
      <c r="H498" t="n">
        <v>0.355</v>
      </c>
      <c r="I498" t="n">
        <v>167.9789000000001</v>
      </c>
      <c r="J498" t="n">
        <v>33644</v>
      </c>
      <c r="K498" t="n">
        <v>11949.42</v>
      </c>
    </row>
    <row r="499">
      <c r="A499" t="n">
        <v>2025</v>
      </c>
      <c r="B499" t="n">
        <v>7</v>
      </c>
      <c r="C499" t="inlineStr">
        <is>
          <t>MMAN</t>
        </is>
      </c>
      <c r="D499" t="n">
        <v>0</v>
      </c>
      <c r="E499" t="n">
        <v>0</v>
      </c>
      <c r="F499" t="n">
        <v>27.59000000000015</v>
      </c>
      <c r="G499" t="n">
        <v/>
      </c>
      <c r="H499" t="n">
        <v>0.296</v>
      </c>
      <c r="I499" t="n">
        <v>8.166640000000044</v>
      </c>
      <c r="J499" t="n">
        <v>51483</v>
      </c>
      <c r="K499" t="n">
        <v>15262.33</v>
      </c>
    </row>
    <row r="500">
      <c r="A500" t="n">
        <v>2025</v>
      </c>
      <c r="B500" t="n">
        <v>8</v>
      </c>
      <c r="C500" t="inlineStr">
        <is>
          <t>MMAN</t>
        </is>
      </c>
      <c r="D500" t="n">
        <v>17.82</v>
      </c>
      <c r="E500" t="n">
        <v>2126</v>
      </c>
      <c r="F500" t="n">
        <v>130.5300000000007</v>
      </c>
      <c r="G500" t="n">
        <v/>
      </c>
      <c r="H500" t="n">
        <v>0.3268</v>
      </c>
      <c r="I500" t="n">
        <v>42.65720400000023</v>
      </c>
      <c r="J500" t="n">
        <v>17650</v>
      </c>
      <c r="K500" t="n">
        <v>5768.63</v>
      </c>
    </row>
    <row r="501">
      <c r="A501" t="n">
        <v>2025</v>
      </c>
      <c r="B501" t="n">
        <v>9</v>
      </c>
      <c r="C501" t="inlineStr">
        <is>
          <t>MMAN</t>
        </is>
      </c>
      <c r="D501" t="n">
        <v>68.19</v>
      </c>
      <c r="E501" t="n">
        <v>10152</v>
      </c>
      <c r="F501" t="n">
        <v>433.0299999999988</v>
      </c>
      <c r="G501" t="n">
        <v/>
      </c>
      <c r="H501" t="n">
        <v>0.2732</v>
      </c>
      <c r="I501" t="n">
        <v>118.3037959999997</v>
      </c>
      <c r="J501" t="n">
        <v>47214</v>
      </c>
      <c r="K501" t="n">
        <v>12897.86</v>
      </c>
    </row>
    <row r="502">
      <c r="A502" t="n">
        <v>2025</v>
      </c>
      <c r="B502" t="n">
        <v>10</v>
      </c>
      <c r="C502" t="inlineStr">
        <is>
          <t>MMAN</t>
        </is>
      </c>
      <c r="D502" t="n">
        <v>0</v>
      </c>
      <c r="E502" t="n">
        <v>0</v>
      </c>
      <c r="F502" t="n">
        <v>173.130000000001</v>
      </c>
      <c r="G502" t="n">
        <v/>
      </c>
      <c r="H502" t="n">
        <v>0.2134</v>
      </c>
      <c r="I502" t="n">
        <v>36.94594200000022</v>
      </c>
      <c r="J502" t="n">
        <v>47533</v>
      </c>
      <c r="K502" t="n">
        <v>13101.09</v>
      </c>
    </row>
    <row r="503">
      <c r="A503" t="n">
        <v>2025</v>
      </c>
      <c r="B503" t="n">
        <v>11</v>
      </c>
      <c r="C503" t="inlineStr">
        <is>
          <t>MMAN</t>
        </is>
      </c>
      <c r="D503" t="n">
        <v/>
      </c>
      <c r="E503" t="n">
        <v/>
      </c>
      <c r="F503" t="n">
        <v/>
      </c>
      <c r="G503" t="n">
        <v/>
      </c>
      <c r="H503" t="n">
        <v>0</v>
      </c>
      <c r="I503" t="n">
        <v/>
      </c>
      <c r="J503" t="n">
        <v>0</v>
      </c>
      <c r="K503" t="n">
        <v>0</v>
      </c>
    </row>
    <row r="504">
      <c r="A504" t="n">
        <v>2025</v>
      </c>
      <c r="B504" t="n">
        <v>12</v>
      </c>
      <c r="C504" t="inlineStr">
        <is>
          <t>MMAN</t>
        </is>
      </c>
      <c r="D504" t="n">
        <v/>
      </c>
      <c r="E504" t="n">
        <v/>
      </c>
      <c r="F504" t="n">
        <v/>
      </c>
      <c r="G504" t="n">
        <v/>
      </c>
      <c r="H504" t="n">
        <v>0</v>
      </c>
      <c r="I504" t="n">
        <v/>
      </c>
      <c r="J504" t="n">
        <v>0</v>
      </c>
      <c r="K504" t="n">
        <v>0</v>
      </c>
    </row>
    <row r="505">
      <c r="A505" t="n">
        <v>2024</v>
      </c>
      <c r="B505" t="n">
        <v>1</v>
      </c>
      <c r="C505" t="inlineStr">
        <is>
          <t>MP1</t>
        </is>
      </c>
      <c r="D505" t="n">
        <v>43.99</v>
      </c>
      <c r="E505" t="n">
        <v>8052</v>
      </c>
      <c r="F505" t="n">
        <v/>
      </c>
      <c r="G505" t="n">
        <v/>
      </c>
      <c r="H505" t="n">
        <v>0.2557</v>
      </c>
      <c r="I505" t="n">
        <v/>
      </c>
      <c r="J505" t="n">
        <v>64934</v>
      </c>
      <c r="K505" t="n">
        <v>16601.39</v>
      </c>
    </row>
    <row r="506">
      <c r="A506" t="n">
        <v>2024</v>
      </c>
      <c r="B506" t="n">
        <v>2</v>
      </c>
      <c r="C506" t="inlineStr">
        <is>
          <t>MP1</t>
        </is>
      </c>
      <c r="D506" t="n">
        <v>0</v>
      </c>
      <c r="E506" t="n">
        <v>0</v>
      </c>
      <c r="F506" t="n">
        <v/>
      </c>
      <c r="G506" t="n">
        <v/>
      </c>
      <c r="H506" t="n">
        <v>0.2378</v>
      </c>
      <c r="I506" t="n">
        <v/>
      </c>
      <c r="J506" t="n">
        <v>71197</v>
      </c>
      <c r="K506" t="n">
        <v>16934</v>
      </c>
    </row>
    <row r="507">
      <c r="A507" t="n">
        <v>2024</v>
      </c>
      <c r="B507" t="n">
        <v>3</v>
      </c>
      <c r="C507" t="inlineStr">
        <is>
          <t>MP1</t>
        </is>
      </c>
      <c r="D507" t="n">
        <v>30.36</v>
      </c>
      <c r="E507" t="n">
        <v>6072</v>
      </c>
      <c r="F507" t="n">
        <v/>
      </c>
      <c r="G507" t="n">
        <v/>
      </c>
      <c r="H507" t="n">
        <v>0.2428</v>
      </c>
      <c r="I507" t="n">
        <v/>
      </c>
      <c r="J507" t="n">
        <v>51152</v>
      </c>
      <c r="K507" t="n">
        <v>12419.74</v>
      </c>
    </row>
    <row r="508">
      <c r="A508" t="n">
        <v>2024</v>
      </c>
      <c r="B508" t="n">
        <v>4</v>
      </c>
      <c r="C508" t="inlineStr">
        <is>
          <t>MP1</t>
        </is>
      </c>
      <c r="D508" t="n">
        <v>35.54</v>
      </c>
      <c r="E508" t="n">
        <v>6053</v>
      </c>
      <c r="F508" t="n">
        <v/>
      </c>
      <c r="G508" t="n">
        <v/>
      </c>
      <c r="H508" t="n">
        <v>0.2416</v>
      </c>
      <c r="I508" t="n">
        <v/>
      </c>
      <c r="J508" t="n">
        <v>45316</v>
      </c>
      <c r="K508" t="n">
        <v>10948.47</v>
      </c>
    </row>
    <row r="509">
      <c r="A509" t="n">
        <v>2024</v>
      </c>
      <c r="B509" t="n">
        <v>5</v>
      </c>
      <c r="C509" t="inlineStr">
        <is>
          <t>MP1</t>
        </is>
      </c>
      <c r="D509" t="n">
        <v>48.19</v>
      </c>
      <c r="E509" t="n">
        <v>8980</v>
      </c>
      <c r="F509" t="n">
        <v/>
      </c>
      <c r="G509" t="n">
        <v/>
      </c>
      <c r="H509" t="n">
        <v>0.2507</v>
      </c>
      <c r="I509" t="n">
        <v/>
      </c>
      <c r="J509" t="n">
        <v>51330</v>
      </c>
      <c r="K509" t="n">
        <v>12868.58</v>
      </c>
    </row>
    <row r="510">
      <c r="A510" t="n">
        <v>2024</v>
      </c>
      <c r="B510" t="n">
        <v>6</v>
      </c>
      <c r="C510" t="inlineStr">
        <is>
          <t>MP1</t>
        </is>
      </c>
      <c r="D510" t="n">
        <v>0</v>
      </c>
      <c r="E510" t="n">
        <v>0</v>
      </c>
      <c r="F510" t="n">
        <v/>
      </c>
      <c r="G510" t="n">
        <v/>
      </c>
      <c r="H510" t="n">
        <v>0.2722</v>
      </c>
      <c r="I510" t="n">
        <v/>
      </c>
      <c r="J510" t="n">
        <v>42151</v>
      </c>
      <c r="K510" t="n">
        <v>11473.9</v>
      </c>
    </row>
    <row r="511">
      <c r="A511" t="n">
        <v>2024</v>
      </c>
      <c r="B511" t="n">
        <v>7</v>
      </c>
      <c r="C511" t="inlineStr">
        <is>
          <t>MP1</t>
        </is>
      </c>
      <c r="D511" t="n">
        <v>0</v>
      </c>
      <c r="E511" t="n">
        <v>0</v>
      </c>
      <c r="F511" t="n">
        <v/>
      </c>
      <c r="G511" t="n">
        <v/>
      </c>
      <c r="H511" t="n">
        <v>0.287</v>
      </c>
      <c r="I511" t="n">
        <v/>
      </c>
      <c r="J511" t="n">
        <v>67581</v>
      </c>
      <c r="K511" t="n">
        <v>19396.73</v>
      </c>
    </row>
    <row r="512">
      <c r="A512" t="n">
        <v>2024</v>
      </c>
      <c r="B512" t="n">
        <v>8</v>
      </c>
      <c r="C512" t="inlineStr">
        <is>
          <t>MP1</t>
        </is>
      </c>
      <c r="D512" t="n">
        <v>0</v>
      </c>
      <c r="E512" t="n">
        <v>0</v>
      </c>
      <c r="F512" t="n">
        <v/>
      </c>
      <c r="G512" t="n">
        <v/>
      </c>
      <c r="H512" t="n">
        <v>0.3047</v>
      </c>
      <c r="I512" t="n">
        <v/>
      </c>
      <c r="J512" t="n">
        <v>44796</v>
      </c>
      <c r="K512" t="n">
        <v>13651.04</v>
      </c>
    </row>
    <row r="513">
      <c r="A513" t="n">
        <v>2024</v>
      </c>
      <c r="B513" t="n">
        <v>9</v>
      </c>
      <c r="C513" t="inlineStr">
        <is>
          <t>MP1</t>
        </is>
      </c>
      <c r="D513" t="n">
        <v>0</v>
      </c>
      <c r="E513" t="n">
        <v>0</v>
      </c>
      <c r="F513" t="n">
        <v/>
      </c>
      <c r="G513" t="n">
        <v/>
      </c>
      <c r="H513" t="n">
        <v>0.2904</v>
      </c>
      <c r="I513" t="n">
        <v/>
      </c>
      <c r="J513" t="n">
        <v>52599</v>
      </c>
      <c r="K513" t="n">
        <v>15277.15</v>
      </c>
    </row>
    <row r="514">
      <c r="A514" t="n">
        <v>2024</v>
      </c>
      <c r="B514" t="n">
        <v>10</v>
      </c>
      <c r="C514" t="inlineStr">
        <is>
          <t>MP1</t>
        </is>
      </c>
      <c r="D514" t="n">
        <v>0</v>
      </c>
      <c r="E514" t="n">
        <v>0</v>
      </c>
      <c r="F514" t="n">
        <v/>
      </c>
      <c r="G514" t="n">
        <v/>
      </c>
      <c r="H514" t="n">
        <v>0.2856</v>
      </c>
      <c r="I514" t="n">
        <v/>
      </c>
      <c r="J514" t="n">
        <v>54362</v>
      </c>
      <c r="K514" t="n">
        <v>15523.99</v>
      </c>
    </row>
    <row r="515">
      <c r="A515" t="n">
        <v>2024</v>
      </c>
      <c r="B515" t="n">
        <v>11</v>
      </c>
      <c r="C515" t="inlineStr">
        <is>
          <t>MP1</t>
        </is>
      </c>
      <c r="D515" t="n">
        <v>0</v>
      </c>
      <c r="E515" t="n">
        <v>0</v>
      </c>
      <c r="F515" t="n">
        <v>64.75</v>
      </c>
      <c r="G515" t="n">
        <v/>
      </c>
      <c r="H515" t="n">
        <v>0.307</v>
      </c>
      <c r="I515" t="n">
        <v>19.87825</v>
      </c>
      <c r="J515" t="n">
        <v>64157</v>
      </c>
      <c r="K515" t="n">
        <v>19751.41</v>
      </c>
    </row>
    <row r="516">
      <c r="A516" t="n">
        <v>2024</v>
      </c>
      <c r="B516" t="n">
        <v>12</v>
      </c>
      <c r="C516" t="inlineStr">
        <is>
          <t>MP1</t>
        </is>
      </c>
      <c r="D516" t="n">
        <v>0</v>
      </c>
      <c r="E516" t="n">
        <v>0</v>
      </c>
      <c r="F516" t="n">
        <v>36.83</v>
      </c>
      <c r="G516" t="n">
        <v/>
      </c>
      <c r="H516" t="n">
        <v>0.331</v>
      </c>
      <c r="I516" t="n">
        <v>12.19073</v>
      </c>
      <c r="J516" t="n">
        <v>51593</v>
      </c>
      <c r="K516" t="n">
        <v>17063.94</v>
      </c>
    </row>
    <row r="517">
      <c r="A517" t="n">
        <v>2025</v>
      </c>
      <c r="B517" t="n">
        <v>1</v>
      </c>
      <c r="C517" t="inlineStr">
        <is>
          <t>MP1</t>
        </is>
      </c>
      <c r="D517" t="n">
        <v>36.8</v>
      </c>
      <c r="E517" t="n">
        <v>16048</v>
      </c>
      <c r="F517" t="n">
        <v>1193.38</v>
      </c>
      <c r="G517" t="n">
        <v/>
      </c>
      <c r="H517" t="n">
        <v>0.335</v>
      </c>
      <c r="I517" t="n">
        <v>399.7823000000001</v>
      </c>
      <c r="J517" t="n">
        <v>61904</v>
      </c>
      <c r="K517" t="n">
        <v>20875.39</v>
      </c>
    </row>
    <row r="518">
      <c r="A518" t="n">
        <v>2025</v>
      </c>
      <c r="B518" t="n">
        <v>2</v>
      </c>
      <c r="C518" t="inlineStr">
        <is>
          <t>MP1</t>
        </is>
      </c>
      <c r="D518" t="n">
        <v>69.59999999999999</v>
      </c>
      <c r="E518" t="n">
        <v>28795</v>
      </c>
      <c r="F518" t="n">
        <v>1507.61</v>
      </c>
      <c r="G518" t="n">
        <v/>
      </c>
      <c r="H518" t="n">
        <v>0.334</v>
      </c>
      <c r="I518" t="n">
        <v>503.54174</v>
      </c>
      <c r="J518" t="n">
        <v>60366</v>
      </c>
      <c r="K518" t="n">
        <v>20173.7</v>
      </c>
    </row>
    <row r="519">
      <c r="A519" t="n">
        <v>2025</v>
      </c>
      <c r="B519" t="n">
        <v>3</v>
      </c>
      <c r="C519" t="inlineStr">
        <is>
          <t>MP1</t>
        </is>
      </c>
      <c r="D519" t="n">
        <v>0</v>
      </c>
      <c r="E519" t="n">
        <v>0</v>
      </c>
      <c r="F519" t="n">
        <v>0</v>
      </c>
      <c r="G519" t="n">
        <v/>
      </c>
      <c r="H519" t="n">
        <v>0.286</v>
      </c>
      <c r="I519" t="n">
        <v>0</v>
      </c>
      <c r="J519" t="n">
        <v>58209</v>
      </c>
      <c r="K519" t="n">
        <v>16648.58</v>
      </c>
    </row>
    <row r="520">
      <c r="A520" t="n">
        <v>2025</v>
      </c>
      <c r="B520" t="n">
        <v>4</v>
      </c>
      <c r="C520" t="inlineStr">
        <is>
          <t>MP1</t>
        </is>
      </c>
      <c r="D520" t="n">
        <v>0</v>
      </c>
      <c r="E520" t="n">
        <v>0</v>
      </c>
      <c r="F520" t="n">
        <v>0</v>
      </c>
      <c r="G520" t="n">
        <v/>
      </c>
      <c r="H520" t="n">
        <v>0.2655</v>
      </c>
      <c r="I520" t="n">
        <v>0</v>
      </c>
      <c r="J520" t="n">
        <v>41269</v>
      </c>
      <c r="K520" t="n">
        <v>10956.7</v>
      </c>
    </row>
    <row r="521">
      <c r="A521" t="n">
        <v>2025</v>
      </c>
      <c r="B521" t="n">
        <v>5</v>
      </c>
      <c r="C521" t="inlineStr">
        <is>
          <t>MP1</t>
        </is>
      </c>
      <c r="D521" t="n">
        <v>0</v>
      </c>
      <c r="E521" t="n">
        <v>0</v>
      </c>
      <c r="F521" t="n">
        <v>0</v>
      </c>
      <c r="G521" t="n">
        <v/>
      </c>
      <c r="H521" t="n">
        <v>0.2575</v>
      </c>
      <c r="I521" t="n">
        <v>0</v>
      </c>
      <c r="J521" t="n">
        <v>30809</v>
      </c>
      <c r="K521" t="n">
        <v>7932.95</v>
      </c>
    </row>
    <row r="522">
      <c r="A522" t="n">
        <v>2025</v>
      </c>
      <c r="B522" t="n">
        <v>6</v>
      </c>
      <c r="C522" t="inlineStr">
        <is>
          <t>MP1</t>
        </is>
      </c>
      <c r="D522" t="n">
        <v>0</v>
      </c>
      <c r="E522" t="n">
        <v>0</v>
      </c>
      <c r="F522" t="n">
        <v>0</v>
      </c>
      <c r="G522" t="n">
        <v/>
      </c>
      <c r="H522" t="n">
        <v>0.355</v>
      </c>
      <c r="I522" t="n">
        <v>0</v>
      </c>
      <c r="J522" t="n">
        <v>33644</v>
      </c>
      <c r="K522" t="n">
        <v>11949.42</v>
      </c>
    </row>
    <row r="523">
      <c r="A523" t="n">
        <v>2025</v>
      </c>
      <c r="B523" t="n">
        <v>7</v>
      </c>
      <c r="C523" t="inlineStr">
        <is>
          <t>MP1</t>
        </is>
      </c>
      <c r="D523" t="n">
        <v>0</v>
      </c>
      <c r="E523" t="n">
        <v>0</v>
      </c>
      <c r="F523" t="n">
        <v>0</v>
      </c>
      <c r="G523" t="n">
        <v/>
      </c>
      <c r="H523" t="n">
        <v>0.296</v>
      </c>
      <c r="I523" t="n">
        <v>0</v>
      </c>
      <c r="J523" t="n">
        <v>51483</v>
      </c>
      <c r="K523" t="n">
        <v>15262.33</v>
      </c>
    </row>
    <row r="524">
      <c r="A524" t="n">
        <v>2025</v>
      </c>
      <c r="B524" t="n">
        <v>8</v>
      </c>
      <c r="C524" t="inlineStr">
        <is>
          <t>MP1</t>
        </is>
      </c>
      <c r="D524" t="n">
        <v>0</v>
      </c>
      <c r="E524" t="n">
        <v>0</v>
      </c>
      <c r="F524" t="n">
        <v>0</v>
      </c>
      <c r="G524" t="n">
        <v/>
      </c>
      <c r="H524" t="n">
        <v>0.3268</v>
      </c>
      <c r="I524" t="n">
        <v>0</v>
      </c>
      <c r="J524" t="n">
        <v>17650</v>
      </c>
      <c r="K524" t="n">
        <v>5768.63</v>
      </c>
    </row>
    <row r="525">
      <c r="A525" t="n">
        <v>2025</v>
      </c>
      <c r="B525" t="n">
        <v>9</v>
      </c>
      <c r="C525" t="inlineStr">
        <is>
          <t>MP1</t>
        </is>
      </c>
      <c r="D525" t="n">
        <v>0</v>
      </c>
      <c r="E525" t="n">
        <v>0</v>
      </c>
      <c r="F525" t="n">
        <v>0</v>
      </c>
      <c r="G525" t="n">
        <v/>
      </c>
      <c r="H525" t="n">
        <v>0.2732</v>
      </c>
      <c r="I525" t="n">
        <v>0</v>
      </c>
      <c r="J525" t="n">
        <v>47214</v>
      </c>
      <c r="K525" t="n">
        <v>12897.86</v>
      </c>
    </row>
    <row r="526">
      <c r="A526" t="n">
        <v>2025</v>
      </c>
      <c r="B526" t="n">
        <v>10</v>
      </c>
      <c r="C526" t="inlineStr">
        <is>
          <t>MP1</t>
        </is>
      </c>
      <c r="D526" t="n">
        <v>0</v>
      </c>
      <c r="E526" t="n">
        <v>0</v>
      </c>
      <c r="F526" t="n">
        <v>0</v>
      </c>
      <c r="G526" t="n">
        <v/>
      </c>
      <c r="H526" t="n">
        <v>0.2134</v>
      </c>
      <c r="I526" t="n">
        <v>0</v>
      </c>
      <c r="J526" t="n">
        <v>47533</v>
      </c>
      <c r="K526" t="n">
        <v>13101.09</v>
      </c>
    </row>
    <row r="527">
      <c r="A527" t="n">
        <v>2025</v>
      </c>
      <c r="B527" t="n">
        <v>11</v>
      </c>
      <c r="C527" t="inlineStr">
        <is>
          <t>MP1</t>
        </is>
      </c>
      <c r="D527" t="n">
        <v/>
      </c>
      <c r="E527" t="n">
        <v/>
      </c>
      <c r="F527" t="n">
        <v/>
      </c>
      <c r="G527" t="n">
        <v/>
      </c>
      <c r="H527" t="n">
        <v>0</v>
      </c>
      <c r="I527" t="n">
        <v/>
      </c>
      <c r="J527" t="n">
        <v>0</v>
      </c>
      <c r="K527" t="n">
        <v>0</v>
      </c>
    </row>
    <row r="528">
      <c r="A528" t="n">
        <v>2025</v>
      </c>
      <c r="B528" t="n">
        <v>12</v>
      </c>
      <c r="C528" t="inlineStr">
        <is>
          <t>MP1</t>
        </is>
      </c>
      <c r="D528" t="n">
        <v/>
      </c>
      <c r="E528" t="n">
        <v/>
      </c>
      <c r="F528" t="n">
        <v/>
      </c>
      <c r="G528" t="n">
        <v/>
      </c>
      <c r="H528" t="n">
        <v>0</v>
      </c>
      <c r="I528" t="n">
        <v/>
      </c>
      <c r="J528" t="n">
        <v>0</v>
      </c>
      <c r="K528" t="n">
        <v>0</v>
      </c>
    </row>
    <row r="529">
      <c r="A529" t="n">
        <v>2024</v>
      </c>
      <c r="B529" t="n">
        <v>1</v>
      </c>
      <c r="C529" t="inlineStr">
        <is>
          <t>MP2</t>
        </is>
      </c>
      <c r="D529" t="n">
        <v>24.19</v>
      </c>
      <c r="E529" t="n">
        <v>22000</v>
      </c>
      <c r="F529" t="n">
        <v/>
      </c>
      <c r="G529" t="n">
        <v/>
      </c>
      <c r="H529" t="n">
        <v>0.2557</v>
      </c>
      <c r="I529" t="n">
        <v/>
      </c>
      <c r="J529" t="n">
        <v>64934</v>
      </c>
      <c r="K529" t="n">
        <v>16601.39</v>
      </c>
    </row>
    <row r="530">
      <c r="A530" t="n">
        <v>2024</v>
      </c>
      <c r="B530" t="n">
        <v>2</v>
      </c>
      <c r="C530" t="inlineStr">
        <is>
          <t>MP2</t>
        </is>
      </c>
      <c r="D530" t="n">
        <v>120.67</v>
      </c>
      <c r="E530" t="n">
        <v>80390</v>
      </c>
      <c r="F530" t="n">
        <v/>
      </c>
      <c r="G530" t="n">
        <v/>
      </c>
      <c r="H530" t="n">
        <v>0.2378</v>
      </c>
      <c r="I530" t="n">
        <v/>
      </c>
      <c r="J530" t="n">
        <v>71197</v>
      </c>
      <c r="K530" t="n">
        <v>16934</v>
      </c>
    </row>
    <row r="531">
      <c r="A531" t="n">
        <v>2024</v>
      </c>
      <c r="B531" t="n">
        <v>3</v>
      </c>
      <c r="C531" t="inlineStr">
        <is>
          <t>MP2</t>
        </is>
      </c>
      <c r="D531" t="n">
        <v>108.02</v>
      </c>
      <c r="E531" t="n">
        <v>65908</v>
      </c>
      <c r="F531" t="n">
        <v/>
      </c>
      <c r="G531" t="n">
        <v/>
      </c>
      <c r="H531" t="n">
        <v>0.2428</v>
      </c>
      <c r="I531" t="n">
        <v/>
      </c>
      <c r="J531" t="n">
        <v>51152</v>
      </c>
      <c r="K531" t="n">
        <v>12419.74</v>
      </c>
    </row>
    <row r="532">
      <c r="A532" t="n">
        <v>2024</v>
      </c>
      <c r="B532" t="n">
        <v>4</v>
      </c>
      <c r="C532" t="inlineStr">
        <is>
          <t>MP2</t>
        </is>
      </c>
      <c r="D532" t="n">
        <v>23.13</v>
      </c>
      <c r="E532" t="n">
        <v>14810</v>
      </c>
      <c r="F532" t="n">
        <v/>
      </c>
      <c r="G532" t="n">
        <v/>
      </c>
      <c r="H532" t="n">
        <v>0.2416</v>
      </c>
      <c r="I532" t="n">
        <v/>
      </c>
      <c r="J532" t="n">
        <v>45316</v>
      </c>
      <c r="K532" t="n">
        <v>10948.47</v>
      </c>
    </row>
    <row r="533">
      <c r="A533" t="n">
        <v>2024</v>
      </c>
      <c r="B533" t="n">
        <v>5</v>
      </c>
      <c r="C533" t="inlineStr">
        <is>
          <t>MP2</t>
        </is>
      </c>
      <c r="D533" t="n">
        <v>27.31</v>
      </c>
      <c r="E533" t="n">
        <v>20716</v>
      </c>
      <c r="F533" t="n">
        <v/>
      </c>
      <c r="G533" t="n">
        <v/>
      </c>
      <c r="H533" t="n">
        <v>0.2507</v>
      </c>
      <c r="I533" t="n">
        <v/>
      </c>
      <c r="J533" t="n">
        <v>51330</v>
      </c>
      <c r="K533" t="n">
        <v>12868.58</v>
      </c>
    </row>
    <row r="534">
      <c r="A534" t="n">
        <v>2024</v>
      </c>
      <c r="B534" t="n">
        <v>6</v>
      </c>
      <c r="C534" t="inlineStr">
        <is>
          <t>MP2</t>
        </is>
      </c>
      <c r="D534" t="n">
        <v>40.33</v>
      </c>
      <c r="E534" t="n">
        <v>31850</v>
      </c>
      <c r="F534" t="n">
        <v/>
      </c>
      <c r="G534" t="n">
        <v/>
      </c>
      <c r="H534" t="n">
        <v>0.2722</v>
      </c>
      <c r="I534" t="n">
        <v/>
      </c>
      <c r="J534" t="n">
        <v>42151</v>
      </c>
      <c r="K534" t="n">
        <v>11473.9</v>
      </c>
    </row>
    <row r="535">
      <c r="A535" t="n">
        <v>2024</v>
      </c>
      <c r="B535" t="n">
        <v>7</v>
      </c>
      <c r="C535" t="inlineStr">
        <is>
          <t>MP2</t>
        </is>
      </c>
      <c r="D535" t="n">
        <v>62.54</v>
      </c>
      <c r="E535" t="n">
        <v>50800</v>
      </c>
      <c r="F535" t="n">
        <v/>
      </c>
      <c r="G535" t="n">
        <v/>
      </c>
      <c r="H535" t="n">
        <v>0.287</v>
      </c>
      <c r="I535" t="n">
        <v/>
      </c>
      <c r="J535" t="n">
        <v>67581</v>
      </c>
      <c r="K535" t="n">
        <v>19396.73</v>
      </c>
    </row>
    <row r="536">
      <c r="A536" t="n">
        <v>2024</v>
      </c>
      <c r="B536" t="n">
        <v>8</v>
      </c>
      <c r="C536" t="inlineStr">
        <is>
          <t>MP2</t>
        </is>
      </c>
      <c r="D536" t="n">
        <v>10.52</v>
      </c>
      <c r="E536" t="n">
        <v>7880</v>
      </c>
      <c r="F536" t="n">
        <v/>
      </c>
      <c r="G536" t="n">
        <v/>
      </c>
      <c r="H536" t="n">
        <v>0.3047</v>
      </c>
      <c r="I536" t="n">
        <v/>
      </c>
      <c r="J536" t="n">
        <v>44796</v>
      </c>
      <c r="K536" t="n">
        <v>13651.04</v>
      </c>
    </row>
    <row r="537">
      <c r="A537" t="n">
        <v>2024</v>
      </c>
      <c r="B537" t="n">
        <v>9</v>
      </c>
      <c r="C537" t="inlineStr">
        <is>
          <t>MP2</t>
        </is>
      </c>
      <c r="D537" t="n">
        <v>149.08</v>
      </c>
      <c r="E537" t="n">
        <v>97414</v>
      </c>
      <c r="F537" t="n">
        <v/>
      </c>
      <c r="G537" t="n">
        <v/>
      </c>
      <c r="H537" t="n">
        <v>0.2904</v>
      </c>
      <c r="I537" t="n">
        <v/>
      </c>
      <c r="J537" t="n">
        <v>52599</v>
      </c>
      <c r="K537" t="n">
        <v>15277.15</v>
      </c>
    </row>
    <row r="538">
      <c r="A538" t="n">
        <v>2024</v>
      </c>
      <c r="B538" t="n">
        <v>10</v>
      </c>
      <c r="C538" t="inlineStr">
        <is>
          <t>MP2</t>
        </is>
      </c>
      <c r="D538" t="n">
        <v>184.18</v>
      </c>
      <c r="E538" t="n">
        <v>155866</v>
      </c>
      <c r="F538" t="n">
        <v/>
      </c>
      <c r="G538" t="n">
        <v/>
      </c>
      <c r="H538" t="n">
        <v>0.2856</v>
      </c>
      <c r="I538" t="n">
        <v/>
      </c>
      <c r="J538" t="n">
        <v>54362</v>
      </c>
      <c r="K538" t="n">
        <v>15523.99</v>
      </c>
    </row>
    <row r="539">
      <c r="A539" t="n">
        <v>2024</v>
      </c>
      <c r="B539" t="n">
        <v>11</v>
      </c>
      <c r="C539" t="inlineStr">
        <is>
          <t>MP2</t>
        </is>
      </c>
      <c r="D539" t="n">
        <v>219.3</v>
      </c>
      <c r="E539" t="n">
        <v>112802</v>
      </c>
      <c r="F539" t="n">
        <v>3279.01</v>
      </c>
      <c r="G539" t="n">
        <v/>
      </c>
      <c r="H539" t="n">
        <v>0.307</v>
      </c>
      <c r="I539" t="n">
        <v>1006.65607</v>
      </c>
      <c r="J539" t="n">
        <v>64157</v>
      </c>
      <c r="K539" t="n">
        <v>19751.41</v>
      </c>
    </row>
    <row r="540">
      <c r="A540" t="n">
        <v>2024</v>
      </c>
      <c r="B540" t="n">
        <v>12</v>
      </c>
      <c r="C540" t="inlineStr">
        <is>
          <t>MP2</t>
        </is>
      </c>
      <c r="D540" t="n">
        <v>34</v>
      </c>
      <c r="E540" t="n">
        <v>23098</v>
      </c>
      <c r="F540" t="n">
        <v>837.75</v>
      </c>
      <c r="G540" t="n">
        <v/>
      </c>
      <c r="H540" t="n">
        <v>0.331</v>
      </c>
      <c r="I540" t="n">
        <v>277.29525</v>
      </c>
      <c r="J540" t="n">
        <v>51593</v>
      </c>
      <c r="K540" t="n">
        <v>17063.94</v>
      </c>
    </row>
    <row r="541">
      <c r="A541" t="n">
        <v>2025</v>
      </c>
      <c r="B541" t="n">
        <v>1</v>
      </c>
      <c r="C541" t="inlineStr">
        <is>
          <t>MP2</t>
        </is>
      </c>
      <c r="D541" t="n">
        <v>0</v>
      </c>
      <c r="E541" t="n">
        <v>0</v>
      </c>
      <c r="F541" t="n">
        <v>104.8900000000003</v>
      </c>
      <c r="G541" t="n">
        <v/>
      </c>
      <c r="H541" t="n">
        <v>0.335</v>
      </c>
      <c r="I541" t="n">
        <v>35.1381500000001</v>
      </c>
      <c r="J541" t="n">
        <v>61904</v>
      </c>
      <c r="K541" t="n">
        <v>20875.39</v>
      </c>
    </row>
    <row r="542">
      <c r="A542" t="n">
        <v>2025</v>
      </c>
      <c r="B542" t="n">
        <v>2</v>
      </c>
      <c r="C542" t="inlineStr">
        <is>
          <t>MP2</t>
        </is>
      </c>
      <c r="D542" t="n">
        <v>0</v>
      </c>
      <c r="E542" t="n">
        <v>0</v>
      </c>
      <c r="F542" t="n">
        <v>56.17999999999938</v>
      </c>
      <c r="G542" t="n">
        <v/>
      </c>
      <c r="H542" t="n">
        <v>0.334</v>
      </c>
      <c r="I542" t="n">
        <v>18.7641199999998</v>
      </c>
      <c r="J542" t="n">
        <v>60366</v>
      </c>
      <c r="K542" t="n">
        <v>20173.7</v>
      </c>
    </row>
    <row r="543">
      <c r="A543" t="n">
        <v>2025</v>
      </c>
      <c r="B543" t="n">
        <v>3</v>
      </c>
      <c r="C543" t="inlineStr">
        <is>
          <t>MP2</t>
        </is>
      </c>
      <c r="D543" t="n">
        <v>0</v>
      </c>
      <c r="E543" t="n">
        <v>0</v>
      </c>
      <c r="F543" t="n">
        <v>0.8699999999998909</v>
      </c>
      <c r="G543" t="n">
        <v/>
      </c>
      <c r="H543" t="n">
        <v>0.286</v>
      </c>
      <c r="I543" t="n">
        <v>0.2488199999999688</v>
      </c>
      <c r="J543" t="n">
        <v>58209</v>
      </c>
      <c r="K543" t="n">
        <v>16648.58</v>
      </c>
    </row>
    <row r="544">
      <c r="A544" t="n">
        <v>2025</v>
      </c>
      <c r="B544" t="n">
        <v>4</v>
      </c>
      <c r="C544" t="inlineStr">
        <is>
          <t>MP2</t>
        </is>
      </c>
      <c r="D544" t="n">
        <v>45.8</v>
      </c>
      <c r="E544" t="n">
        <v>25650</v>
      </c>
      <c r="F544" t="n">
        <v>1078.5</v>
      </c>
      <c r="G544" t="n">
        <v/>
      </c>
      <c r="H544" t="n">
        <v>0.2655</v>
      </c>
      <c r="I544" t="n">
        <v>286.34175</v>
      </c>
      <c r="J544" t="n">
        <v>41269</v>
      </c>
      <c r="K544" t="n">
        <v>10956.7</v>
      </c>
    </row>
    <row r="545">
      <c r="A545" t="n">
        <v>2025</v>
      </c>
      <c r="B545" t="n">
        <v>5</v>
      </c>
      <c r="C545" t="inlineStr">
        <is>
          <t>MP2</t>
        </is>
      </c>
      <c r="D545" t="n">
        <v>0</v>
      </c>
      <c r="E545" t="n">
        <v>0</v>
      </c>
      <c r="F545" t="n">
        <v>0</v>
      </c>
      <c r="G545" t="n">
        <v/>
      </c>
      <c r="H545" t="n">
        <v>0.2575</v>
      </c>
      <c r="I545" t="n">
        <v>0</v>
      </c>
      <c r="J545" t="n">
        <v>30809</v>
      </c>
      <c r="K545" t="n">
        <v>7932.95</v>
      </c>
    </row>
    <row r="546">
      <c r="A546" t="n">
        <v>2025</v>
      </c>
      <c r="B546" t="n">
        <v>6</v>
      </c>
      <c r="C546" t="inlineStr">
        <is>
          <t>MP2</t>
        </is>
      </c>
      <c r="D546" t="n">
        <v>25.7</v>
      </c>
      <c r="E546" t="n">
        <v>16860</v>
      </c>
      <c r="F546" t="n">
        <v>825.5800000000008</v>
      </c>
      <c r="G546" t="n">
        <v/>
      </c>
      <c r="H546" t="n">
        <v>0.355</v>
      </c>
      <c r="I546" t="n">
        <v>293.0809000000003</v>
      </c>
      <c r="J546" t="n">
        <v>33644</v>
      </c>
      <c r="K546" t="n">
        <v>11949.42</v>
      </c>
    </row>
    <row r="547">
      <c r="A547" t="n">
        <v>2025</v>
      </c>
      <c r="B547" t="n">
        <v>7</v>
      </c>
      <c r="C547" t="inlineStr">
        <is>
          <t>MP2</t>
        </is>
      </c>
      <c r="D547" t="n">
        <v>67.3</v>
      </c>
      <c r="E547" t="n">
        <v>45000</v>
      </c>
      <c r="F547" t="n">
        <v>1413.66</v>
      </c>
      <c r="G547" t="n">
        <v/>
      </c>
      <c r="H547" t="n">
        <v>0.296</v>
      </c>
      <c r="I547" t="n">
        <v>418.44336</v>
      </c>
      <c r="J547" t="n">
        <v>51483</v>
      </c>
      <c r="K547" t="n">
        <v>15262.33</v>
      </c>
    </row>
    <row r="548">
      <c r="A548" t="n">
        <v>2025</v>
      </c>
      <c r="B548" t="n">
        <v>8</v>
      </c>
      <c r="C548" t="inlineStr">
        <is>
          <t>MP2</t>
        </is>
      </c>
      <c r="D548" t="n">
        <v>0</v>
      </c>
      <c r="E548" t="n">
        <v>0</v>
      </c>
      <c r="F548" t="n">
        <v>0</v>
      </c>
      <c r="G548" t="n">
        <v/>
      </c>
      <c r="H548" t="n">
        <v>0.3268</v>
      </c>
      <c r="I548" t="n">
        <v>0</v>
      </c>
      <c r="J548" t="n">
        <v>17650</v>
      </c>
      <c r="K548" t="n">
        <v>5768.63</v>
      </c>
    </row>
    <row r="549">
      <c r="A549" t="n">
        <v>2025</v>
      </c>
      <c r="B549" t="n">
        <v>9</v>
      </c>
      <c r="C549" t="inlineStr">
        <is>
          <t>MP2</t>
        </is>
      </c>
      <c r="D549" t="n">
        <v>22.11</v>
      </c>
      <c r="E549" t="n">
        <v>12791</v>
      </c>
      <c r="F549" t="n">
        <v>1235.629999999999</v>
      </c>
      <c r="G549" t="n">
        <v/>
      </c>
      <c r="H549" t="n">
        <v>0.2732</v>
      </c>
      <c r="I549" t="n">
        <v>337.5741159999997</v>
      </c>
      <c r="J549" t="n">
        <v>47214</v>
      </c>
      <c r="K549" t="n">
        <v>12897.86</v>
      </c>
    </row>
    <row r="550">
      <c r="A550" t="n">
        <v>2025</v>
      </c>
      <c r="B550" t="n">
        <v>10</v>
      </c>
      <c r="C550" t="inlineStr">
        <is>
          <t>MP2</t>
        </is>
      </c>
      <c r="D550" t="n">
        <v>12.99</v>
      </c>
      <c r="E550" t="n">
        <v>8566</v>
      </c>
      <c r="F550" t="n">
        <v>2166.34</v>
      </c>
      <c r="G550" t="n">
        <v/>
      </c>
      <c r="H550" t="n">
        <v>0.2134</v>
      </c>
      <c r="I550" t="n">
        <v>462.296956</v>
      </c>
      <c r="J550" t="n">
        <v>47533</v>
      </c>
      <c r="K550" t="n">
        <v>13101.09</v>
      </c>
    </row>
    <row r="551">
      <c r="A551" t="n">
        <v>2025</v>
      </c>
      <c r="B551" t="n">
        <v>11</v>
      </c>
      <c r="C551" t="inlineStr">
        <is>
          <t>MP2</t>
        </is>
      </c>
      <c r="D551" t="n">
        <v/>
      </c>
      <c r="E551" t="n">
        <v/>
      </c>
      <c r="F551" t="n">
        <v/>
      </c>
      <c r="G551" t="n">
        <v/>
      </c>
      <c r="H551" t="n">
        <v>0</v>
      </c>
      <c r="I551" t="n">
        <v/>
      </c>
      <c r="J551" t="n">
        <v>0</v>
      </c>
      <c r="K551" t="n">
        <v>0</v>
      </c>
    </row>
    <row r="552">
      <c r="A552" t="n">
        <v>2025</v>
      </c>
      <c r="B552" t="n">
        <v>12</v>
      </c>
      <c r="C552" t="inlineStr">
        <is>
          <t>MP2</t>
        </is>
      </c>
      <c r="D552" t="n">
        <v/>
      </c>
      <c r="E552" t="n">
        <v/>
      </c>
      <c r="F552" t="n">
        <v/>
      </c>
      <c r="G552" t="n">
        <v/>
      </c>
      <c r="H552" t="n">
        <v>0</v>
      </c>
      <c r="I552" t="n">
        <v/>
      </c>
      <c r="J552" t="n">
        <v>0</v>
      </c>
      <c r="K552" t="n">
        <v>0</v>
      </c>
    </row>
    <row r="553">
      <c r="A553" t="n">
        <v>2024</v>
      </c>
      <c r="B553" t="n">
        <v>1</v>
      </c>
      <c r="C553" t="inlineStr">
        <is>
          <t>MP3</t>
        </is>
      </c>
      <c r="D553" t="n">
        <v>0</v>
      </c>
      <c r="E553" t="n">
        <v>0</v>
      </c>
      <c r="F553" t="n">
        <v/>
      </c>
      <c r="G553" t="n">
        <v/>
      </c>
      <c r="H553" t="n">
        <v>0.2557</v>
      </c>
      <c r="I553" t="n">
        <v/>
      </c>
      <c r="J553" t="n">
        <v>64934</v>
      </c>
      <c r="K553" t="n">
        <v>16601.39</v>
      </c>
    </row>
    <row r="554">
      <c r="A554" t="n">
        <v>2024</v>
      </c>
      <c r="B554" t="n">
        <v>2</v>
      </c>
      <c r="C554" t="inlineStr">
        <is>
          <t>MP3</t>
        </is>
      </c>
      <c r="D554" t="n">
        <v>61.58</v>
      </c>
      <c r="E554" t="n">
        <v>22568</v>
      </c>
      <c r="F554" t="n">
        <v/>
      </c>
      <c r="G554" t="n">
        <v/>
      </c>
      <c r="H554" t="n">
        <v>0.2378</v>
      </c>
      <c r="I554" t="n">
        <v/>
      </c>
      <c r="J554" t="n">
        <v>71197</v>
      </c>
      <c r="K554" t="n">
        <v>16934</v>
      </c>
    </row>
    <row r="555">
      <c r="A555" t="n">
        <v>2024</v>
      </c>
      <c r="B555" t="n">
        <v>3</v>
      </c>
      <c r="C555" t="inlineStr">
        <is>
          <t>MP3</t>
        </is>
      </c>
      <c r="D555" t="n">
        <v>41.16</v>
      </c>
      <c r="E555" t="n">
        <v>16740</v>
      </c>
      <c r="F555" t="n">
        <v/>
      </c>
      <c r="G555" t="n">
        <v/>
      </c>
      <c r="H555" t="n">
        <v>0.2428</v>
      </c>
      <c r="I555" t="n">
        <v/>
      </c>
      <c r="J555" t="n">
        <v>51152</v>
      </c>
      <c r="K555" t="n">
        <v>12419.74</v>
      </c>
    </row>
    <row r="556">
      <c r="A556" t="n">
        <v>2024</v>
      </c>
      <c r="B556" t="n">
        <v>4</v>
      </c>
      <c r="C556" t="inlineStr">
        <is>
          <t>MP3</t>
        </is>
      </c>
      <c r="D556" t="n">
        <v>397.27</v>
      </c>
      <c r="E556" t="n">
        <v>13662</v>
      </c>
      <c r="F556" t="n">
        <v/>
      </c>
      <c r="G556" t="n">
        <v/>
      </c>
      <c r="H556" t="n">
        <v>0.2416</v>
      </c>
      <c r="I556" t="n">
        <v/>
      </c>
      <c r="J556" t="n">
        <v>45316</v>
      </c>
      <c r="K556" t="n">
        <v>10948.47</v>
      </c>
    </row>
    <row r="557">
      <c r="A557" t="n">
        <v>2024</v>
      </c>
      <c r="B557" t="n">
        <v>5</v>
      </c>
      <c r="C557" t="inlineStr">
        <is>
          <t>MP3</t>
        </is>
      </c>
      <c r="D557" t="n">
        <v>62.07</v>
      </c>
      <c r="E557" t="n">
        <v>24810</v>
      </c>
      <c r="F557" t="n">
        <v/>
      </c>
      <c r="G557" t="n">
        <v/>
      </c>
      <c r="H557" t="n">
        <v>0.2507</v>
      </c>
      <c r="I557" t="n">
        <v/>
      </c>
      <c r="J557" t="n">
        <v>51330</v>
      </c>
      <c r="K557" t="n">
        <v>12868.58</v>
      </c>
    </row>
    <row r="558">
      <c r="A558" t="n">
        <v>2024</v>
      </c>
      <c r="B558" t="n">
        <v>6</v>
      </c>
      <c r="C558" t="inlineStr">
        <is>
          <t>MP3</t>
        </is>
      </c>
      <c r="D558" t="n">
        <v>6.62</v>
      </c>
      <c r="E558" t="n">
        <v>2300</v>
      </c>
      <c r="F558" t="n">
        <v/>
      </c>
      <c r="G558" t="n">
        <v/>
      </c>
      <c r="H558" t="n">
        <v>0.2722</v>
      </c>
      <c r="I558" t="n">
        <v/>
      </c>
      <c r="J558" t="n">
        <v>42151</v>
      </c>
      <c r="K558" t="n">
        <v>11473.9</v>
      </c>
    </row>
    <row r="559">
      <c r="A559" t="n">
        <v>2024</v>
      </c>
      <c r="B559" t="n">
        <v>7</v>
      </c>
      <c r="C559" t="inlineStr">
        <is>
          <t>MP3</t>
        </is>
      </c>
      <c r="D559" t="n">
        <v>59.08</v>
      </c>
      <c r="E559" t="n">
        <v>24981</v>
      </c>
      <c r="F559" t="n">
        <v/>
      </c>
      <c r="G559" t="n">
        <v/>
      </c>
      <c r="H559" t="n">
        <v>0.287</v>
      </c>
      <c r="I559" t="n">
        <v/>
      </c>
      <c r="J559" t="n">
        <v>67581</v>
      </c>
      <c r="K559" t="n">
        <v>19396.73</v>
      </c>
    </row>
    <row r="560">
      <c r="A560" t="n">
        <v>2024</v>
      </c>
      <c r="B560" t="n">
        <v>8</v>
      </c>
      <c r="C560" t="inlineStr">
        <is>
          <t>MP3</t>
        </is>
      </c>
      <c r="D560" t="n">
        <v>12.04</v>
      </c>
      <c r="E560" t="n">
        <v>4397</v>
      </c>
      <c r="F560" t="n">
        <v/>
      </c>
      <c r="G560" t="n">
        <v/>
      </c>
      <c r="H560" t="n">
        <v>0.3047</v>
      </c>
      <c r="I560" t="n">
        <v/>
      </c>
      <c r="J560" t="n">
        <v>44796</v>
      </c>
      <c r="K560" t="n">
        <v>13651.04</v>
      </c>
    </row>
    <row r="561">
      <c r="A561" t="n">
        <v>2024</v>
      </c>
      <c r="B561" t="n">
        <v>9</v>
      </c>
      <c r="C561" t="inlineStr">
        <is>
          <t>MP3</t>
        </is>
      </c>
      <c r="D561" t="n">
        <v>68.20999999999999</v>
      </c>
      <c r="E561" t="n">
        <v>33366</v>
      </c>
      <c r="F561" t="n">
        <v/>
      </c>
      <c r="G561" t="n">
        <v/>
      </c>
      <c r="H561" t="n">
        <v>0.2904</v>
      </c>
      <c r="I561" t="n">
        <v/>
      </c>
      <c r="J561" t="n">
        <v>52599</v>
      </c>
      <c r="K561" t="n">
        <v>15277.15</v>
      </c>
    </row>
    <row r="562">
      <c r="A562" t="n">
        <v>2024</v>
      </c>
      <c r="B562" t="n">
        <v>10</v>
      </c>
      <c r="C562" t="inlineStr">
        <is>
          <t>MP3</t>
        </is>
      </c>
      <c r="D562" t="n">
        <v>65.06999999999999</v>
      </c>
      <c r="E562" t="n">
        <v>36002</v>
      </c>
      <c r="F562" t="n">
        <v/>
      </c>
      <c r="G562" t="n">
        <v/>
      </c>
      <c r="H562" t="n">
        <v>0.2856</v>
      </c>
      <c r="I562" t="n">
        <v/>
      </c>
      <c r="J562" t="n">
        <v>54362</v>
      </c>
      <c r="K562" t="n">
        <v>15523.99</v>
      </c>
    </row>
    <row r="563">
      <c r="A563" t="n">
        <v>2024</v>
      </c>
      <c r="B563" t="n">
        <v>11</v>
      </c>
      <c r="C563" t="inlineStr">
        <is>
          <t>MP3</t>
        </is>
      </c>
      <c r="D563" t="n">
        <v>50.9</v>
      </c>
      <c r="E563" t="n">
        <v>13035</v>
      </c>
      <c r="F563" t="n">
        <v>907.7600000000001</v>
      </c>
      <c r="G563" t="n">
        <v/>
      </c>
      <c r="H563" t="n">
        <v>0.307</v>
      </c>
      <c r="I563" t="n">
        <v>278.68232</v>
      </c>
      <c r="J563" t="n">
        <v>64157</v>
      </c>
      <c r="K563" t="n">
        <v>19751.41</v>
      </c>
    </row>
    <row r="564">
      <c r="A564" t="n">
        <v>2024</v>
      </c>
      <c r="B564" t="n">
        <v>12</v>
      </c>
      <c r="C564" t="inlineStr">
        <is>
          <t>MP3</t>
        </is>
      </c>
      <c r="D564" t="n">
        <v>23.7</v>
      </c>
      <c r="E564" t="n">
        <v>10080</v>
      </c>
      <c r="F564" t="n">
        <v>499.04</v>
      </c>
      <c r="G564" t="n">
        <v/>
      </c>
      <c r="H564" t="n">
        <v>0.331</v>
      </c>
      <c r="I564" t="n">
        <v>165.18224</v>
      </c>
      <c r="J564" t="n">
        <v>51593</v>
      </c>
      <c r="K564" t="n">
        <v>17063.94</v>
      </c>
    </row>
    <row r="565">
      <c r="A565" t="n">
        <v>2025</v>
      </c>
      <c r="B565" t="n">
        <v>1</v>
      </c>
      <c r="C565" t="inlineStr">
        <is>
          <t>MP3</t>
        </is>
      </c>
      <c r="D565" t="n">
        <v>11.9</v>
      </c>
      <c r="E565" t="n">
        <v>4740</v>
      </c>
      <c r="F565" t="n">
        <v>432.5099999999998</v>
      </c>
      <c r="G565" t="n">
        <v/>
      </c>
      <c r="H565" t="n">
        <v>0.335</v>
      </c>
      <c r="I565" t="n">
        <v>144.8908499999999</v>
      </c>
      <c r="J565" t="n">
        <v>61904</v>
      </c>
      <c r="K565" t="n">
        <v>20875.39</v>
      </c>
    </row>
    <row r="566">
      <c r="A566" t="n">
        <v>2025</v>
      </c>
      <c r="B566" t="n">
        <v>2</v>
      </c>
      <c r="C566" t="inlineStr">
        <is>
          <t>MP3</t>
        </is>
      </c>
      <c r="D566" t="n">
        <v>11.7</v>
      </c>
      <c r="E566" t="n">
        <v>3784</v>
      </c>
      <c r="F566" t="n">
        <v>47.15000000000009</v>
      </c>
      <c r="G566" t="n">
        <v/>
      </c>
      <c r="H566" t="n">
        <v>0.334</v>
      </c>
      <c r="I566" t="n">
        <v>15.74810000000003</v>
      </c>
      <c r="J566" t="n">
        <v>60366</v>
      </c>
      <c r="K566" t="n">
        <v>20173.7</v>
      </c>
    </row>
    <row r="567">
      <c r="A567" t="n">
        <v>2025</v>
      </c>
      <c r="B567" t="n">
        <v>3</v>
      </c>
      <c r="C567" t="inlineStr">
        <is>
          <t>MP3</t>
        </is>
      </c>
      <c r="D567" t="n">
        <v>82.09999999999999</v>
      </c>
      <c r="E567" t="n">
        <v>32736</v>
      </c>
      <c r="F567" t="n">
        <v>2041.06</v>
      </c>
      <c r="G567" t="n">
        <v/>
      </c>
      <c r="H567" t="n">
        <v>0.286</v>
      </c>
      <c r="I567" t="n">
        <v>583.74316</v>
      </c>
      <c r="J567" t="n">
        <v>58209</v>
      </c>
      <c r="K567" t="n">
        <v>16648.58</v>
      </c>
    </row>
    <row r="568">
      <c r="A568" t="n">
        <v>2025</v>
      </c>
      <c r="B568" t="n">
        <v>4</v>
      </c>
      <c r="C568" t="inlineStr">
        <is>
          <t>MP3</t>
        </is>
      </c>
      <c r="D568" t="n">
        <v>95.09999999999999</v>
      </c>
      <c r="E568" t="n">
        <v>40772</v>
      </c>
      <c r="F568" t="n">
        <v>1771.95</v>
      </c>
      <c r="G568" t="n">
        <v/>
      </c>
      <c r="H568" t="n">
        <v>0.2655</v>
      </c>
      <c r="I568" t="n">
        <v>470.452725</v>
      </c>
      <c r="J568" t="n">
        <v>41269</v>
      </c>
      <c r="K568" t="n">
        <v>10956.7</v>
      </c>
    </row>
    <row r="569">
      <c r="A569" t="n">
        <v>2025</v>
      </c>
      <c r="B569" t="n">
        <v>5</v>
      </c>
      <c r="C569" t="inlineStr">
        <is>
          <t>MP3</t>
        </is>
      </c>
      <c r="D569" t="n">
        <v>62.5</v>
      </c>
      <c r="E569" t="n">
        <v>37888</v>
      </c>
      <c r="F569" t="n">
        <v>1398.26</v>
      </c>
      <c r="G569" t="n">
        <v/>
      </c>
      <c r="H569" t="n">
        <v>0.2575</v>
      </c>
      <c r="I569" t="n">
        <v>360.05195</v>
      </c>
      <c r="J569" t="n">
        <v>30809</v>
      </c>
      <c r="K569" t="n">
        <v>7932.95</v>
      </c>
    </row>
    <row r="570">
      <c r="A570" t="n">
        <v>2025</v>
      </c>
      <c r="B570" t="n">
        <v>6</v>
      </c>
      <c r="C570" t="inlineStr">
        <is>
          <t>MP3</t>
        </is>
      </c>
      <c r="D570" t="n">
        <v>0</v>
      </c>
      <c r="E570" t="n">
        <v>0</v>
      </c>
      <c r="F570" t="n">
        <v>0</v>
      </c>
      <c r="G570" t="n">
        <v/>
      </c>
      <c r="H570" t="n">
        <v>0.355</v>
      </c>
      <c r="I570" t="n">
        <v>0</v>
      </c>
      <c r="J570" t="n">
        <v>33644</v>
      </c>
      <c r="K570" t="n">
        <v>11949.42</v>
      </c>
    </row>
    <row r="571">
      <c r="A571" t="n">
        <v>2025</v>
      </c>
      <c r="B571" t="n">
        <v>7</v>
      </c>
      <c r="C571" t="inlineStr">
        <is>
          <t>MP3</t>
        </is>
      </c>
      <c r="D571" t="n">
        <v>0</v>
      </c>
      <c r="E571" t="n">
        <v>0</v>
      </c>
      <c r="F571" t="n">
        <v>0</v>
      </c>
      <c r="G571" t="n">
        <v/>
      </c>
      <c r="H571" t="n">
        <v>0.296</v>
      </c>
      <c r="I571" t="n">
        <v>0</v>
      </c>
      <c r="J571" t="n">
        <v>51483</v>
      </c>
      <c r="K571" t="n">
        <v>15262.33</v>
      </c>
    </row>
    <row r="572">
      <c r="A572" t="n">
        <v>2025</v>
      </c>
      <c r="B572" t="n">
        <v>8</v>
      </c>
      <c r="C572" t="inlineStr">
        <is>
          <t>MP3</t>
        </is>
      </c>
      <c r="D572" t="n">
        <v>0</v>
      </c>
      <c r="E572" t="n">
        <v>0</v>
      </c>
      <c r="F572" t="n">
        <v>0</v>
      </c>
      <c r="G572" t="n">
        <v/>
      </c>
      <c r="H572" t="n">
        <v>0.3268</v>
      </c>
      <c r="I572" t="n">
        <v>0</v>
      </c>
      <c r="J572" t="n">
        <v>17650</v>
      </c>
      <c r="K572" t="n">
        <v>5768.63</v>
      </c>
    </row>
    <row r="573">
      <c r="A573" t="n">
        <v>2025</v>
      </c>
      <c r="B573" t="n">
        <v>9</v>
      </c>
      <c r="C573" t="inlineStr">
        <is>
          <t>MP3</t>
        </is>
      </c>
      <c r="D573" t="n">
        <v>0</v>
      </c>
      <c r="E573" t="n">
        <v>0</v>
      </c>
      <c r="F573" t="n">
        <v>0</v>
      </c>
      <c r="G573" t="n">
        <v/>
      </c>
      <c r="H573" t="n">
        <v>0.2732</v>
      </c>
      <c r="I573" t="n">
        <v>0</v>
      </c>
      <c r="J573" t="n">
        <v>47214</v>
      </c>
      <c r="K573" t="n">
        <v>12897.86</v>
      </c>
    </row>
    <row r="574">
      <c r="A574" t="n">
        <v>2025</v>
      </c>
      <c r="B574" t="n">
        <v>10</v>
      </c>
      <c r="C574" t="inlineStr">
        <is>
          <t>MP3</t>
        </is>
      </c>
      <c r="D574" t="n">
        <v>0</v>
      </c>
      <c r="E574" t="n">
        <v>0</v>
      </c>
      <c r="F574" t="n">
        <v>0</v>
      </c>
      <c r="G574" t="n">
        <v/>
      </c>
      <c r="H574" t="n">
        <v>0.2134</v>
      </c>
      <c r="I574" t="n">
        <v>0</v>
      </c>
      <c r="J574" t="n">
        <v>47533</v>
      </c>
      <c r="K574" t="n">
        <v>13101.09</v>
      </c>
    </row>
    <row r="575">
      <c r="A575" t="n">
        <v>2025</v>
      </c>
      <c r="B575" t="n">
        <v>11</v>
      </c>
      <c r="C575" t="inlineStr">
        <is>
          <t>MP3</t>
        </is>
      </c>
      <c r="D575" t="n">
        <v/>
      </c>
      <c r="E575" t="n">
        <v/>
      </c>
      <c r="F575" t="n">
        <v/>
      </c>
      <c r="G575" t="n">
        <v/>
      </c>
      <c r="H575" t="n">
        <v>0</v>
      </c>
      <c r="I575" t="n">
        <v/>
      </c>
      <c r="J575" t="n">
        <v>0</v>
      </c>
      <c r="K575" t="n">
        <v>0</v>
      </c>
    </row>
    <row r="576">
      <c r="A576" t="n">
        <v>2025</v>
      </c>
      <c r="B576" t="n">
        <v>12</v>
      </c>
      <c r="C576" t="inlineStr">
        <is>
          <t>MP3</t>
        </is>
      </c>
      <c r="D576" t="n">
        <v/>
      </c>
      <c r="E576" t="n">
        <v/>
      </c>
      <c r="F576" t="n">
        <v/>
      </c>
      <c r="G576" t="n">
        <v/>
      </c>
      <c r="H576" t="n">
        <v>0</v>
      </c>
      <c r="I576" t="n">
        <v/>
      </c>
      <c r="J576" t="n">
        <v>0</v>
      </c>
      <c r="K576" t="n">
        <v>0</v>
      </c>
    </row>
    <row r="577">
      <c r="A577" t="n">
        <v>2024</v>
      </c>
      <c r="B577" t="n">
        <v>1</v>
      </c>
      <c r="C577" t="inlineStr">
        <is>
          <t>MP4</t>
        </is>
      </c>
      <c r="D577" t="n">
        <v>67.45</v>
      </c>
      <c r="E577" t="n">
        <v>27440</v>
      </c>
      <c r="F577" t="n">
        <v/>
      </c>
      <c r="G577" t="n">
        <v/>
      </c>
      <c r="H577" t="n">
        <v>0.2557</v>
      </c>
      <c r="I577" t="n">
        <v/>
      </c>
      <c r="J577" t="n">
        <v>64934</v>
      </c>
      <c r="K577" t="n">
        <v>16601.39</v>
      </c>
    </row>
    <row r="578">
      <c r="A578" t="n">
        <v>2024</v>
      </c>
      <c r="B578" t="n">
        <v>2</v>
      </c>
      <c r="C578" t="inlineStr">
        <is>
          <t>MP4</t>
        </is>
      </c>
      <c r="D578" t="n">
        <v>76.26000000000001</v>
      </c>
      <c r="E578" t="n">
        <v>27066</v>
      </c>
      <c r="F578" t="n">
        <v/>
      </c>
      <c r="G578" t="n">
        <v/>
      </c>
      <c r="H578" t="n">
        <v>0.2378</v>
      </c>
      <c r="I578" t="n">
        <v/>
      </c>
      <c r="J578" t="n">
        <v>71197</v>
      </c>
      <c r="K578" t="n">
        <v>16934</v>
      </c>
    </row>
    <row r="579">
      <c r="A579" t="n">
        <v>2024</v>
      </c>
      <c r="B579" t="n">
        <v>3</v>
      </c>
      <c r="C579" t="inlineStr">
        <is>
          <t>MP4</t>
        </is>
      </c>
      <c r="D579" t="n">
        <v>0</v>
      </c>
      <c r="E579" t="n">
        <v>0</v>
      </c>
      <c r="F579" t="n">
        <v/>
      </c>
      <c r="G579" t="n">
        <v/>
      </c>
      <c r="H579" t="n">
        <v>0.2428</v>
      </c>
      <c r="I579" t="n">
        <v/>
      </c>
      <c r="J579" t="n">
        <v>51152</v>
      </c>
      <c r="K579" t="n">
        <v>12419.74</v>
      </c>
    </row>
    <row r="580">
      <c r="A580" t="n">
        <v>2024</v>
      </c>
      <c r="B580" t="n">
        <v>4</v>
      </c>
      <c r="C580" t="inlineStr">
        <is>
          <t>MP4</t>
        </is>
      </c>
      <c r="D580" t="n">
        <v>66.19</v>
      </c>
      <c r="E580" t="n">
        <v>22850</v>
      </c>
      <c r="F580" t="n">
        <v/>
      </c>
      <c r="G580" t="n">
        <v/>
      </c>
      <c r="H580" t="n">
        <v>0.2416</v>
      </c>
      <c r="I580" t="n">
        <v/>
      </c>
      <c r="J580" t="n">
        <v>45316</v>
      </c>
      <c r="K580" t="n">
        <v>10948.47</v>
      </c>
    </row>
    <row r="581">
      <c r="A581" t="n">
        <v>2024</v>
      </c>
      <c r="B581" t="n">
        <v>5</v>
      </c>
      <c r="C581" t="inlineStr">
        <is>
          <t>MP4</t>
        </is>
      </c>
      <c r="D581" t="n">
        <v>145.04</v>
      </c>
      <c r="E581" t="n">
        <v>54107</v>
      </c>
      <c r="F581" t="n">
        <v/>
      </c>
      <c r="G581" t="n">
        <v/>
      </c>
      <c r="H581" t="n">
        <v>0.2507</v>
      </c>
      <c r="I581" t="n">
        <v/>
      </c>
      <c r="J581" t="n">
        <v>51330</v>
      </c>
      <c r="K581" t="n">
        <v>12868.58</v>
      </c>
    </row>
    <row r="582">
      <c r="A582" t="n">
        <v>2024</v>
      </c>
      <c r="B582" t="n">
        <v>6</v>
      </c>
      <c r="C582" t="inlineStr">
        <is>
          <t>MP4</t>
        </is>
      </c>
      <c r="D582" t="n">
        <v>71.97</v>
      </c>
      <c r="E582" t="n">
        <v>30860</v>
      </c>
      <c r="F582" t="n">
        <v/>
      </c>
      <c r="G582" t="n">
        <v/>
      </c>
      <c r="H582" t="n">
        <v>0.2722</v>
      </c>
      <c r="I582" t="n">
        <v/>
      </c>
      <c r="J582" t="n">
        <v>42151</v>
      </c>
      <c r="K582" t="n">
        <v>11473.9</v>
      </c>
    </row>
    <row r="583">
      <c r="A583" t="n">
        <v>2024</v>
      </c>
      <c r="B583" t="n">
        <v>7</v>
      </c>
      <c r="C583" t="inlineStr">
        <is>
          <t>MP4</t>
        </is>
      </c>
      <c r="D583" t="n">
        <v>3.46</v>
      </c>
      <c r="E583" t="n">
        <v>1856</v>
      </c>
      <c r="F583" t="n">
        <v/>
      </c>
      <c r="G583" t="n">
        <v/>
      </c>
      <c r="H583" t="n">
        <v>0.287</v>
      </c>
      <c r="I583" t="n">
        <v/>
      </c>
      <c r="J583" t="n">
        <v>67581</v>
      </c>
      <c r="K583" t="n">
        <v>19396.73</v>
      </c>
    </row>
    <row r="584">
      <c r="A584" t="n">
        <v>2024</v>
      </c>
      <c r="B584" t="n">
        <v>8</v>
      </c>
      <c r="C584" t="inlineStr">
        <is>
          <t>MP4</t>
        </is>
      </c>
      <c r="D584" t="n">
        <v>76.2</v>
      </c>
      <c r="E584" t="n">
        <v>24832</v>
      </c>
      <c r="F584" t="n">
        <v/>
      </c>
      <c r="G584" t="n">
        <v/>
      </c>
      <c r="H584" t="n">
        <v>0.3047</v>
      </c>
      <c r="I584" t="n">
        <v/>
      </c>
      <c r="J584" t="n">
        <v>44796</v>
      </c>
      <c r="K584" t="n">
        <v>13651.04</v>
      </c>
    </row>
    <row r="585">
      <c r="A585" t="n">
        <v>2024</v>
      </c>
      <c r="B585" t="n">
        <v>9</v>
      </c>
      <c r="C585" t="inlineStr">
        <is>
          <t>MP4</t>
        </is>
      </c>
      <c r="D585" t="n">
        <v>12.63</v>
      </c>
      <c r="E585" t="n">
        <v>5432</v>
      </c>
      <c r="F585" t="n">
        <v/>
      </c>
      <c r="G585" t="n">
        <v/>
      </c>
      <c r="H585" t="n">
        <v>0.2904</v>
      </c>
      <c r="I585" t="n">
        <v/>
      </c>
      <c r="J585" t="n">
        <v>52599</v>
      </c>
      <c r="K585" t="n">
        <v>15277.15</v>
      </c>
    </row>
    <row r="586">
      <c r="A586" t="n">
        <v>2024</v>
      </c>
      <c r="B586" t="n">
        <v>10</v>
      </c>
      <c r="C586" t="inlineStr">
        <is>
          <t>MP4</t>
        </is>
      </c>
      <c r="D586" t="n">
        <v>60.25</v>
      </c>
      <c r="E586" t="n">
        <v>25350</v>
      </c>
      <c r="F586" t="n">
        <v/>
      </c>
      <c r="G586" t="n">
        <v/>
      </c>
      <c r="H586" t="n">
        <v>0.2856</v>
      </c>
      <c r="I586" t="n">
        <v/>
      </c>
      <c r="J586" t="n">
        <v>54362</v>
      </c>
      <c r="K586" t="n">
        <v>15523.99</v>
      </c>
    </row>
    <row r="587">
      <c r="A587" t="n">
        <v>2024</v>
      </c>
      <c r="B587" t="n">
        <v>11</v>
      </c>
      <c r="C587" t="inlineStr">
        <is>
          <t>MP4</t>
        </is>
      </c>
      <c r="D587" t="n">
        <v>7.4</v>
      </c>
      <c r="E587" t="n">
        <v>3692</v>
      </c>
      <c r="F587" t="n">
        <v>366.4899999999999</v>
      </c>
      <c r="G587" t="n">
        <v/>
      </c>
      <c r="H587" t="n">
        <v>0.307</v>
      </c>
      <c r="I587" t="n">
        <v>112.51243</v>
      </c>
      <c r="J587" t="n">
        <v>64157</v>
      </c>
      <c r="K587" t="n">
        <v>19751.41</v>
      </c>
    </row>
    <row r="588">
      <c r="A588" t="n">
        <v>2024</v>
      </c>
      <c r="B588" t="n">
        <v>12</v>
      </c>
      <c r="C588" t="inlineStr">
        <is>
          <t>MP4</t>
        </is>
      </c>
      <c r="D588" t="n">
        <v>65.2</v>
      </c>
      <c r="E588" t="n">
        <v>29070</v>
      </c>
      <c r="F588" t="n">
        <v>1437.77</v>
      </c>
      <c r="G588" t="n">
        <v/>
      </c>
      <c r="H588" t="n">
        <v>0.331</v>
      </c>
      <c r="I588" t="n">
        <v>475.90187</v>
      </c>
      <c r="J588" t="n">
        <v>51593</v>
      </c>
      <c r="K588" t="n">
        <v>17063.94</v>
      </c>
    </row>
    <row r="589">
      <c r="A589" t="n">
        <v>2025</v>
      </c>
      <c r="B589" t="n">
        <v>1</v>
      </c>
      <c r="C589" t="inlineStr">
        <is>
          <t>MP4</t>
        </is>
      </c>
      <c r="D589" t="n">
        <v>71.8</v>
      </c>
      <c r="E589" t="n">
        <v>29246</v>
      </c>
      <c r="F589" t="n">
        <v>1463.98</v>
      </c>
      <c r="G589" t="n">
        <v/>
      </c>
      <c r="H589" t="n">
        <v>0.335</v>
      </c>
      <c r="I589" t="n">
        <v>490.4333</v>
      </c>
      <c r="J589" t="n">
        <v>61904</v>
      </c>
      <c r="K589" t="n">
        <v>20875.39</v>
      </c>
    </row>
    <row r="590">
      <c r="A590" t="n">
        <v>2025</v>
      </c>
      <c r="B590" t="n">
        <v>2</v>
      </c>
      <c r="C590" t="inlineStr">
        <is>
          <t>MP4</t>
        </is>
      </c>
      <c r="D590" t="n">
        <v>70.5</v>
      </c>
      <c r="E590" t="n">
        <v>29300</v>
      </c>
      <c r="F590" t="n">
        <v>1474.88</v>
      </c>
      <c r="G590" t="n">
        <v/>
      </c>
      <c r="H590" t="n">
        <v>0.334</v>
      </c>
      <c r="I590" t="n">
        <v>492.60992</v>
      </c>
      <c r="J590" t="n">
        <v>60366</v>
      </c>
      <c r="K590" t="n">
        <v>20173.7</v>
      </c>
    </row>
    <row r="591">
      <c r="A591" t="n">
        <v>2025</v>
      </c>
      <c r="B591" t="n">
        <v>3</v>
      </c>
      <c r="C591" t="inlineStr">
        <is>
          <t>MP4</t>
        </is>
      </c>
      <c r="D591" t="n">
        <v>116.5</v>
      </c>
      <c r="E591" t="n">
        <v>44827</v>
      </c>
      <c r="F591" t="n">
        <v>2375.759999999999</v>
      </c>
      <c r="G591" t="n">
        <v/>
      </c>
      <c r="H591" t="n">
        <v>0.286</v>
      </c>
      <c r="I591" t="n">
        <v>679.4673599999996</v>
      </c>
      <c r="J591" t="n">
        <v>58209</v>
      </c>
      <c r="K591" t="n">
        <v>16648.58</v>
      </c>
    </row>
    <row r="592">
      <c r="A592" t="n">
        <v>2025</v>
      </c>
      <c r="B592" t="n">
        <v>4</v>
      </c>
      <c r="C592" t="inlineStr">
        <is>
          <t>MP4</t>
        </is>
      </c>
      <c r="D592" t="n">
        <v>76.7</v>
      </c>
      <c r="E592" t="n">
        <v>28171</v>
      </c>
      <c r="F592" t="n">
        <v>1423.970000000001</v>
      </c>
      <c r="G592" t="n">
        <v/>
      </c>
      <c r="H592" t="n">
        <v>0.2655</v>
      </c>
      <c r="I592" t="n">
        <v>378.0640350000003</v>
      </c>
      <c r="J592" t="n">
        <v>41269</v>
      </c>
      <c r="K592" t="n">
        <v>10956.7</v>
      </c>
    </row>
    <row r="593">
      <c r="A593" t="n">
        <v>2025</v>
      </c>
      <c r="B593" t="n">
        <v>5</v>
      </c>
      <c r="C593" t="inlineStr">
        <is>
          <t>MP4</t>
        </is>
      </c>
      <c r="D593" t="n">
        <v>0</v>
      </c>
      <c r="E593" t="n">
        <v>0</v>
      </c>
      <c r="F593" t="n">
        <v>0</v>
      </c>
      <c r="G593" t="n">
        <v/>
      </c>
      <c r="H593" t="n">
        <v>0.2575</v>
      </c>
      <c r="I593" t="n">
        <v>0</v>
      </c>
      <c r="J593" t="n">
        <v>30809</v>
      </c>
      <c r="K593" t="n">
        <v>7932.95</v>
      </c>
    </row>
    <row r="594">
      <c r="A594" t="n">
        <v>2025</v>
      </c>
      <c r="B594" t="n">
        <v>6</v>
      </c>
      <c r="C594" t="inlineStr">
        <is>
          <t>MP4</t>
        </is>
      </c>
      <c r="D594" t="n">
        <v>0</v>
      </c>
      <c r="E594" t="n">
        <v>0</v>
      </c>
      <c r="F594" t="n">
        <v>0</v>
      </c>
      <c r="G594" t="n">
        <v/>
      </c>
      <c r="H594" t="n">
        <v>0.355</v>
      </c>
      <c r="I594" t="n">
        <v>0</v>
      </c>
      <c r="J594" t="n">
        <v>33644</v>
      </c>
      <c r="K594" t="n">
        <v>11949.42</v>
      </c>
    </row>
    <row r="595">
      <c r="A595" t="n">
        <v>2025</v>
      </c>
      <c r="B595" t="n">
        <v>7</v>
      </c>
      <c r="C595" t="inlineStr">
        <is>
          <t>MP4</t>
        </is>
      </c>
      <c r="D595" t="n">
        <v>0</v>
      </c>
      <c r="E595" t="n">
        <v>0</v>
      </c>
      <c r="F595" t="n">
        <v>0</v>
      </c>
      <c r="G595" t="n">
        <v/>
      </c>
      <c r="H595" t="n">
        <v>0.296</v>
      </c>
      <c r="I595" t="n">
        <v>0</v>
      </c>
      <c r="J595" t="n">
        <v>51483</v>
      </c>
      <c r="K595" t="n">
        <v>15262.33</v>
      </c>
    </row>
    <row r="596">
      <c r="A596" t="n">
        <v>2025</v>
      </c>
      <c r="B596" t="n">
        <v>8</v>
      </c>
      <c r="C596" t="inlineStr">
        <is>
          <t>MP4</t>
        </is>
      </c>
      <c r="D596" t="n">
        <v>0</v>
      </c>
      <c r="E596" t="n">
        <v>0</v>
      </c>
      <c r="F596" t="n">
        <v>0</v>
      </c>
      <c r="G596" t="n">
        <v/>
      </c>
      <c r="H596" t="n">
        <v>0.3268</v>
      </c>
      <c r="I596" t="n">
        <v>0</v>
      </c>
      <c r="J596" t="n">
        <v>17650</v>
      </c>
      <c r="K596" t="n">
        <v>5768.63</v>
      </c>
    </row>
    <row r="597">
      <c r="A597" t="n">
        <v>2025</v>
      </c>
      <c r="B597" t="n">
        <v>9</v>
      </c>
      <c r="C597" t="inlineStr">
        <is>
          <t>MP4</t>
        </is>
      </c>
      <c r="D597" t="n">
        <v>0</v>
      </c>
      <c r="E597" t="n">
        <v>0</v>
      </c>
      <c r="F597" t="n">
        <v>0</v>
      </c>
      <c r="G597" t="n">
        <v/>
      </c>
      <c r="H597" t="n">
        <v>0.2732</v>
      </c>
      <c r="I597" t="n">
        <v>0</v>
      </c>
      <c r="J597" t="n">
        <v>47214</v>
      </c>
      <c r="K597" t="n">
        <v>12897.86</v>
      </c>
    </row>
    <row r="598">
      <c r="A598" t="n">
        <v>2025</v>
      </c>
      <c r="B598" t="n">
        <v>10</v>
      </c>
      <c r="C598" t="inlineStr">
        <is>
          <t>MP4</t>
        </is>
      </c>
      <c r="D598" t="n">
        <v>0</v>
      </c>
      <c r="E598" t="n">
        <v>0</v>
      </c>
      <c r="F598" t="n">
        <v>0</v>
      </c>
      <c r="G598" t="n">
        <v/>
      </c>
      <c r="H598" t="n">
        <v>0.2134</v>
      </c>
      <c r="I598" t="n">
        <v>0</v>
      </c>
      <c r="J598" t="n">
        <v>47533</v>
      </c>
      <c r="K598" t="n">
        <v>13101.09</v>
      </c>
    </row>
    <row r="599">
      <c r="A599" t="n">
        <v>2025</v>
      </c>
      <c r="B599" t="n">
        <v>11</v>
      </c>
      <c r="C599" t="inlineStr">
        <is>
          <t>MP4</t>
        </is>
      </c>
      <c r="D599" t="n">
        <v/>
      </c>
      <c r="E599" t="n">
        <v/>
      </c>
      <c r="F599" t="n">
        <v/>
      </c>
      <c r="G599" t="n">
        <v/>
      </c>
      <c r="H599" t="n">
        <v>0</v>
      </c>
      <c r="I599" t="n">
        <v/>
      </c>
      <c r="J599" t="n">
        <v>0</v>
      </c>
      <c r="K599" t="n">
        <v>0</v>
      </c>
    </row>
    <row r="600">
      <c r="A600" t="n">
        <v>2025</v>
      </c>
      <c r="B600" t="n">
        <v>12</v>
      </c>
      <c r="C600" t="inlineStr">
        <is>
          <t>MP4</t>
        </is>
      </c>
      <c r="D600" t="n">
        <v/>
      </c>
      <c r="E600" t="n">
        <v/>
      </c>
      <c r="F600" t="n">
        <v/>
      </c>
      <c r="G600" t="n">
        <v/>
      </c>
      <c r="H600" t="n">
        <v>0</v>
      </c>
      <c r="I600" t="n">
        <v/>
      </c>
      <c r="J600" t="n">
        <v>0</v>
      </c>
      <c r="K600" t="n">
        <v>0</v>
      </c>
    </row>
    <row r="601">
      <c r="A601" t="n">
        <v>2024</v>
      </c>
      <c r="B601" t="n">
        <v>1</v>
      </c>
      <c r="C601" t="inlineStr">
        <is>
          <t>SERCAM</t>
        </is>
      </c>
      <c r="D601" t="n">
        <v/>
      </c>
      <c r="E601" t="n">
        <v/>
      </c>
      <c r="F601" t="n">
        <v/>
      </c>
      <c r="G601" t="n">
        <v/>
      </c>
      <c r="H601" t="n">
        <v>0.2557</v>
      </c>
      <c r="I601" t="n">
        <v/>
      </c>
      <c r="J601" t="n">
        <v>64934</v>
      </c>
      <c r="K601" t="n">
        <v>16601.39</v>
      </c>
    </row>
    <row r="602">
      <c r="A602" t="n">
        <v>2024</v>
      </c>
      <c r="B602" t="n">
        <v>2</v>
      </c>
      <c r="C602" t="inlineStr">
        <is>
          <t>SERCAM</t>
        </is>
      </c>
      <c r="D602" t="n">
        <v/>
      </c>
      <c r="E602" t="n">
        <v/>
      </c>
      <c r="F602" t="n">
        <v/>
      </c>
      <c r="G602" t="n">
        <v/>
      </c>
      <c r="H602" t="n">
        <v>0.2378</v>
      </c>
      <c r="I602" t="n">
        <v/>
      </c>
      <c r="J602" t="n">
        <v>71197</v>
      </c>
      <c r="K602" t="n">
        <v>16934</v>
      </c>
    </row>
    <row r="603">
      <c r="A603" t="n">
        <v>2024</v>
      </c>
      <c r="B603" t="n">
        <v>3</v>
      </c>
      <c r="C603" t="inlineStr">
        <is>
          <t>SERCAM</t>
        </is>
      </c>
      <c r="D603" t="n">
        <v/>
      </c>
      <c r="E603" t="n">
        <v/>
      </c>
      <c r="F603" t="n">
        <v/>
      </c>
      <c r="G603" t="n">
        <v/>
      </c>
      <c r="H603" t="n">
        <v>0.2428</v>
      </c>
      <c r="I603" t="n">
        <v/>
      </c>
      <c r="J603" t="n">
        <v>51152</v>
      </c>
      <c r="K603" t="n">
        <v>12419.74</v>
      </c>
    </row>
    <row r="604">
      <c r="A604" t="n">
        <v>2024</v>
      </c>
      <c r="B604" t="n">
        <v>4</v>
      </c>
      <c r="C604" t="inlineStr">
        <is>
          <t>SERCAM</t>
        </is>
      </c>
      <c r="D604" t="n">
        <v/>
      </c>
      <c r="E604" t="n">
        <v/>
      </c>
      <c r="F604" t="n">
        <v/>
      </c>
      <c r="G604" t="n">
        <v/>
      </c>
      <c r="H604" t="n">
        <v>0.2416</v>
      </c>
      <c r="I604" t="n">
        <v/>
      </c>
      <c r="J604" t="n">
        <v>45316</v>
      </c>
      <c r="K604" t="n">
        <v>10948.47</v>
      </c>
    </row>
    <row r="605">
      <c r="A605" t="n">
        <v>2024</v>
      </c>
      <c r="B605" t="n">
        <v>5</v>
      </c>
      <c r="C605" t="inlineStr">
        <is>
          <t>SERCAM</t>
        </is>
      </c>
      <c r="D605" t="n">
        <v/>
      </c>
      <c r="E605" t="n">
        <v/>
      </c>
      <c r="F605" t="n">
        <v/>
      </c>
      <c r="G605" t="n">
        <v/>
      </c>
      <c r="H605" t="n">
        <v>0.2507</v>
      </c>
      <c r="I605" t="n">
        <v/>
      </c>
      <c r="J605" t="n">
        <v>51330</v>
      </c>
      <c r="K605" t="n">
        <v>12868.58</v>
      </c>
    </row>
    <row r="606">
      <c r="A606" t="n">
        <v>2024</v>
      </c>
      <c r="B606" t="n">
        <v>6</v>
      </c>
      <c r="C606" t="inlineStr">
        <is>
          <t>SERCAM</t>
        </is>
      </c>
      <c r="D606" t="n">
        <v/>
      </c>
      <c r="E606" t="n">
        <v/>
      </c>
      <c r="F606" t="n">
        <v/>
      </c>
      <c r="G606" t="n">
        <v/>
      </c>
      <c r="H606" t="n">
        <v>0.2722</v>
      </c>
      <c r="I606" t="n">
        <v/>
      </c>
      <c r="J606" t="n">
        <v>42151</v>
      </c>
      <c r="K606" t="n">
        <v>11473.9</v>
      </c>
    </row>
    <row r="607">
      <c r="A607" t="n">
        <v>2024</v>
      </c>
      <c r="B607" t="n">
        <v>7</v>
      </c>
      <c r="C607" t="inlineStr">
        <is>
          <t>SERCAM</t>
        </is>
      </c>
      <c r="D607" t="n">
        <v/>
      </c>
      <c r="E607" t="n">
        <v/>
      </c>
      <c r="F607" t="n">
        <v/>
      </c>
      <c r="G607" t="n">
        <v/>
      </c>
      <c r="H607" t="n">
        <v>0.287</v>
      </c>
      <c r="I607" t="n">
        <v/>
      </c>
      <c r="J607" t="n">
        <v>67581</v>
      </c>
      <c r="K607" t="n">
        <v>19396.73</v>
      </c>
    </row>
    <row r="608">
      <c r="A608" t="n">
        <v>2024</v>
      </c>
      <c r="B608" t="n">
        <v>8</v>
      </c>
      <c r="C608" t="inlineStr">
        <is>
          <t>SERCAM</t>
        </is>
      </c>
      <c r="D608" t="n">
        <v/>
      </c>
      <c r="E608" t="n">
        <v/>
      </c>
      <c r="F608" t="n">
        <v/>
      </c>
      <c r="G608" t="n">
        <v/>
      </c>
      <c r="H608" t="n">
        <v>0.3047</v>
      </c>
      <c r="I608" t="n">
        <v/>
      </c>
      <c r="J608" t="n">
        <v>44796</v>
      </c>
      <c r="K608" t="n">
        <v>13651.04</v>
      </c>
    </row>
    <row r="609">
      <c r="A609" t="n">
        <v>2024</v>
      </c>
      <c r="B609" t="n">
        <v>9</v>
      </c>
      <c r="C609" t="inlineStr">
        <is>
          <t>SERCAM</t>
        </is>
      </c>
      <c r="D609" t="n">
        <v/>
      </c>
      <c r="E609" t="n">
        <v/>
      </c>
      <c r="F609" t="n">
        <v/>
      </c>
      <c r="G609" t="n">
        <v/>
      </c>
      <c r="H609" t="n">
        <v>0.2904</v>
      </c>
      <c r="I609" t="n">
        <v/>
      </c>
      <c r="J609" t="n">
        <v>52599</v>
      </c>
      <c r="K609" t="n">
        <v>15277.15</v>
      </c>
    </row>
    <row r="610">
      <c r="A610" t="n">
        <v>2024</v>
      </c>
      <c r="B610" t="n">
        <v>10</v>
      </c>
      <c r="C610" t="inlineStr">
        <is>
          <t>SERCAM</t>
        </is>
      </c>
      <c r="D610" t="n">
        <v>0.01</v>
      </c>
      <c r="E610" t="n">
        <v>7</v>
      </c>
      <c r="F610" t="n">
        <v/>
      </c>
      <c r="G610" t="n">
        <v/>
      </c>
      <c r="H610" t="n">
        <v>0.2856</v>
      </c>
      <c r="I610" t="n">
        <v/>
      </c>
      <c r="J610" t="n">
        <v>54362</v>
      </c>
      <c r="K610" t="n">
        <v>15523.99</v>
      </c>
    </row>
    <row r="611">
      <c r="A611" t="n">
        <v>2024</v>
      </c>
      <c r="B611" t="n">
        <v>11</v>
      </c>
      <c r="C611" t="inlineStr">
        <is>
          <t>SERCAM</t>
        </is>
      </c>
      <c r="D611" t="n">
        <v/>
      </c>
      <c r="E611" t="n">
        <v/>
      </c>
      <c r="F611" t="n">
        <v/>
      </c>
      <c r="G611" t="n">
        <v/>
      </c>
      <c r="H611" t="n">
        <v>0.307</v>
      </c>
      <c r="I611" t="n">
        <v>0</v>
      </c>
      <c r="J611" t="n">
        <v>64157</v>
      </c>
      <c r="K611" t="n">
        <v>19751.41</v>
      </c>
    </row>
    <row r="612">
      <c r="A612" t="n">
        <v>2024</v>
      </c>
      <c r="B612" t="n">
        <v>12</v>
      </c>
      <c r="C612" t="inlineStr">
        <is>
          <t>SERCAM</t>
        </is>
      </c>
      <c r="D612" t="n">
        <v/>
      </c>
      <c r="E612" t="n">
        <v/>
      </c>
      <c r="F612" t="n">
        <v/>
      </c>
      <c r="G612" t="n">
        <v/>
      </c>
      <c r="H612" t="n">
        <v>0.331</v>
      </c>
      <c r="I612" t="n">
        <v>0</v>
      </c>
      <c r="J612" t="n">
        <v>51593</v>
      </c>
      <c r="K612" t="n">
        <v>17063.94</v>
      </c>
    </row>
    <row r="613">
      <c r="A613" t="n">
        <v>2025</v>
      </c>
      <c r="B613" t="n">
        <v>1</v>
      </c>
      <c r="C613" t="inlineStr">
        <is>
          <t>SERCAM</t>
        </is>
      </c>
      <c r="D613" t="n">
        <v/>
      </c>
      <c r="E613" t="n">
        <v/>
      </c>
      <c r="F613" t="n">
        <v/>
      </c>
      <c r="G613" t="n">
        <v/>
      </c>
      <c r="H613" t="n">
        <v>0.335</v>
      </c>
      <c r="I613" t="n">
        <v>0</v>
      </c>
      <c r="J613" t="n">
        <v>61904</v>
      </c>
      <c r="K613" t="n">
        <v>20875.39</v>
      </c>
    </row>
    <row r="614">
      <c r="A614" t="n">
        <v>2025</v>
      </c>
      <c r="B614" t="n">
        <v>2</v>
      </c>
      <c r="C614" t="inlineStr">
        <is>
          <t>SERCAM</t>
        </is>
      </c>
      <c r="D614" t="n">
        <v/>
      </c>
      <c r="E614" t="n">
        <v/>
      </c>
      <c r="F614" t="n">
        <v/>
      </c>
      <c r="G614" t="n">
        <v/>
      </c>
      <c r="H614" t="n">
        <v>0.334</v>
      </c>
      <c r="I614" t="n">
        <v>0</v>
      </c>
      <c r="J614" t="n">
        <v>60366</v>
      </c>
      <c r="K614" t="n">
        <v>20173.7</v>
      </c>
    </row>
    <row r="615">
      <c r="A615" t="n">
        <v>2025</v>
      </c>
      <c r="B615" t="n">
        <v>3</v>
      </c>
      <c r="C615" t="inlineStr">
        <is>
          <t>SERCAM</t>
        </is>
      </c>
      <c r="D615" t="n">
        <v/>
      </c>
      <c r="E615" t="n">
        <v/>
      </c>
      <c r="F615" t="n">
        <v/>
      </c>
      <c r="G615" t="n">
        <v/>
      </c>
      <c r="H615" t="n">
        <v>0.286</v>
      </c>
      <c r="I615" t="n">
        <v>0</v>
      </c>
      <c r="J615" t="n">
        <v>58209</v>
      </c>
      <c r="K615" t="n">
        <v>16648.58</v>
      </c>
    </row>
    <row r="616">
      <c r="A616" t="n">
        <v>2025</v>
      </c>
      <c r="B616" t="n">
        <v>4</v>
      </c>
      <c r="C616" t="inlineStr">
        <is>
          <t>SERCAM</t>
        </is>
      </c>
      <c r="D616" t="n">
        <v/>
      </c>
      <c r="E616" t="n">
        <v/>
      </c>
      <c r="F616" t="n">
        <v/>
      </c>
      <c r="G616" t="n">
        <v/>
      </c>
      <c r="H616" t="n">
        <v>0.2655</v>
      </c>
      <c r="I616" t="n">
        <v>0</v>
      </c>
      <c r="J616" t="n">
        <v>41269</v>
      </c>
      <c r="K616" t="n">
        <v>10956.7</v>
      </c>
    </row>
    <row r="617">
      <c r="A617" t="n">
        <v>2025</v>
      </c>
      <c r="B617" t="n">
        <v>5</v>
      </c>
      <c r="C617" t="inlineStr">
        <is>
          <t>SERCAM</t>
        </is>
      </c>
      <c r="D617" t="n">
        <v/>
      </c>
      <c r="E617" t="n">
        <v/>
      </c>
      <c r="F617" t="n">
        <v/>
      </c>
      <c r="G617" t="n">
        <v/>
      </c>
      <c r="H617" t="n">
        <v>0.2575</v>
      </c>
      <c r="I617" t="n">
        <v>0</v>
      </c>
      <c r="J617" t="n">
        <v>30809</v>
      </c>
      <c r="K617" t="n">
        <v>7932.95</v>
      </c>
    </row>
    <row r="618">
      <c r="A618" t="n">
        <v>2025</v>
      </c>
      <c r="B618" t="n">
        <v>6</v>
      </c>
      <c r="C618" t="inlineStr">
        <is>
          <t>SERCAM</t>
        </is>
      </c>
      <c r="D618" t="n">
        <v/>
      </c>
      <c r="E618" t="n">
        <v/>
      </c>
      <c r="F618" t="n">
        <v/>
      </c>
      <c r="G618" t="n">
        <v/>
      </c>
      <c r="H618" t="n">
        <v>0.355</v>
      </c>
      <c r="I618" t="n">
        <v>0</v>
      </c>
      <c r="J618" t="n">
        <v>33644</v>
      </c>
      <c r="K618" t="n">
        <v>11949.42</v>
      </c>
    </row>
    <row r="619">
      <c r="A619" t="n">
        <v>2025</v>
      </c>
      <c r="B619" t="n">
        <v>7</v>
      </c>
      <c r="C619" t="inlineStr">
        <is>
          <t>SERCAM</t>
        </is>
      </c>
      <c r="D619" t="n">
        <v/>
      </c>
      <c r="E619" t="n">
        <v/>
      </c>
      <c r="F619" t="n">
        <v/>
      </c>
      <c r="G619" t="n">
        <v/>
      </c>
      <c r="H619" t="n">
        <v>0.296</v>
      </c>
      <c r="I619" t="n">
        <v>0</v>
      </c>
      <c r="J619" t="n">
        <v>51483</v>
      </c>
      <c r="K619" t="n">
        <v>15262.33</v>
      </c>
    </row>
    <row r="620">
      <c r="A620" t="n">
        <v>2025</v>
      </c>
      <c r="B620" t="n">
        <v>8</v>
      </c>
      <c r="C620" t="inlineStr">
        <is>
          <t>SERCAM</t>
        </is>
      </c>
      <c r="D620" t="n">
        <v/>
      </c>
      <c r="E620" t="n">
        <v/>
      </c>
      <c r="F620" t="n">
        <v/>
      </c>
      <c r="G620" t="n">
        <v/>
      </c>
      <c r="H620" t="n">
        <v>0.3268</v>
      </c>
      <c r="I620" t="n">
        <v>0</v>
      </c>
      <c r="J620" t="n">
        <v>17650</v>
      </c>
      <c r="K620" t="n">
        <v>5768.63</v>
      </c>
    </row>
    <row r="621">
      <c r="A621" t="n">
        <v>2025</v>
      </c>
      <c r="B621" t="n">
        <v>9</v>
      </c>
      <c r="C621" t="inlineStr">
        <is>
          <t>SERCAM</t>
        </is>
      </c>
      <c r="D621" t="n">
        <v>0</v>
      </c>
      <c r="E621" t="n">
        <v>0</v>
      </c>
      <c r="F621" t="n">
        <v/>
      </c>
      <c r="G621" t="n">
        <v/>
      </c>
      <c r="H621" t="n">
        <v>0.2732</v>
      </c>
      <c r="I621" t="n">
        <v/>
      </c>
      <c r="J621" t="n">
        <v>47214</v>
      </c>
      <c r="K621" t="n">
        <v>0</v>
      </c>
    </row>
    <row r="622">
      <c r="A622" t="n">
        <v>2025</v>
      </c>
      <c r="B622" t="n">
        <v>10</v>
      </c>
      <c r="C622" t="inlineStr">
        <is>
          <t>SERCAM</t>
        </is>
      </c>
      <c r="D622" t="n">
        <v>0</v>
      </c>
      <c r="E622" t="n">
        <v>0</v>
      </c>
      <c r="F622" t="n">
        <v/>
      </c>
      <c r="G622" t="n">
        <v/>
      </c>
      <c r="H622" t="n">
        <v>0.2134</v>
      </c>
      <c r="I622" t="n">
        <v/>
      </c>
      <c r="J622" t="n">
        <v>47533</v>
      </c>
      <c r="K622" t="n">
        <v>0</v>
      </c>
    </row>
    <row r="623">
      <c r="A623" t="n">
        <v>2025</v>
      </c>
      <c r="B623" t="n">
        <v>11</v>
      </c>
      <c r="C623" t="inlineStr">
        <is>
          <t>SERCAM</t>
        </is>
      </c>
      <c r="D623" t="n">
        <v/>
      </c>
      <c r="E623" t="n">
        <v/>
      </c>
      <c r="F623" t="n">
        <v/>
      </c>
      <c r="G623" t="n">
        <v/>
      </c>
      <c r="H623" t="n">
        <v>0</v>
      </c>
      <c r="I623" t="n">
        <v/>
      </c>
      <c r="J623" t="n">
        <v>0</v>
      </c>
      <c r="K623" t="n">
        <v>0</v>
      </c>
    </row>
    <row r="624">
      <c r="A624" t="n">
        <v>2025</v>
      </c>
      <c r="B624" t="n">
        <v>12</v>
      </c>
      <c r="C624" t="inlineStr">
        <is>
          <t>SERCAM</t>
        </is>
      </c>
      <c r="D624" t="n">
        <v/>
      </c>
      <c r="E624" t="n">
        <v/>
      </c>
      <c r="F624" t="n">
        <v/>
      </c>
      <c r="G624" t="n">
        <v/>
      </c>
      <c r="H624" t="n">
        <v>0</v>
      </c>
      <c r="I624" t="n">
        <v/>
      </c>
      <c r="J624" t="n">
        <v>0</v>
      </c>
      <c r="K624" t="n">
        <v>0</v>
      </c>
    </row>
    <row r="625">
      <c r="A625" t="n">
        <v>2024</v>
      </c>
      <c r="B625" t="n">
        <v>1</v>
      </c>
      <c r="C625" t="inlineStr">
        <is>
          <t>TMPM2</t>
        </is>
      </c>
      <c r="D625" t="n">
        <v>39.27</v>
      </c>
      <c r="E625" t="n">
        <v>11077</v>
      </c>
      <c r="F625" t="n">
        <v/>
      </c>
      <c r="G625" t="n">
        <v/>
      </c>
      <c r="H625" t="n">
        <v>0.2557</v>
      </c>
      <c r="I625" t="n">
        <v/>
      </c>
      <c r="J625" t="n">
        <v>64934</v>
      </c>
      <c r="K625" t="n">
        <v>16601.39</v>
      </c>
    </row>
    <row r="626">
      <c r="A626" t="n">
        <v>2024</v>
      </c>
      <c r="B626" t="n">
        <v>2</v>
      </c>
      <c r="C626" t="inlineStr">
        <is>
          <t>TMPM2</t>
        </is>
      </c>
      <c r="D626" t="n">
        <v>19</v>
      </c>
      <c r="E626" t="n">
        <v>5625</v>
      </c>
      <c r="F626" t="n">
        <v/>
      </c>
      <c r="G626" t="n">
        <v/>
      </c>
      <c r="H626" t="n">
        <v>0.2378</v>
      </c>
      <c r="I626" t="n">
        <v/>
      </c>
      <c r="J626" t="n">
        <v>71197</v>
      </c>
      <c r="K626" t="n">
        <v>16934</v>
      </c>
    </row>
    <row r="627">
      <c r="A627" t="n">
        <v>2024</v>
      </c>
      <c r="B627" t="n">
        <v>3</v>
      </c>
      <c r="C627" t="inlineStr">
        <is>
          <t>TMPM2</t>
        </is>
      </c>
      <c r="D627" t="n">
        <v>157.46</v>
      </c>
      <c r="E627" t="n">
        <v>30131</v>
      </c>
      <c r="F627" t="n">
        <v/>
      </c>
      <c r="G627" t="n">
        <v/>
      </c>
      <c r="H627" t="n">
        <v>0.2428</v>
      </c>
      <c r="I627" t="n">
        <v/>
      </c>
      <c r="J627" t="n">
        <v>51152</v>
      </c>
      <c r="K627" t="n">
        <v>12419.74</v>
      </c>
    </row>
    <row r="628">
      <c r="A628" t="n">
        <v>2024</v>
      </c>
      <c r="B628" t="n">
        <v>4</v>
      </c>
      <c r="C628" t="inlineStr">
        <is>
          <t>TMPM2</t>
        </is>
      </c>
      <c r="D628" t="n">
        <v>78.11</v>
      </c>
      <c r="E628" t="n">
        <v>25849</v>
      </c>
      <c r="F628" t="n">
        <v/>
      </c>
      <c r="G628" t="n">
        <v/>
      </c>
      <c r="H628" t="n">
        <v>0.2416</v>
      </c>
      <c r="I628" t="n">
        <v/>
      </c>
      <c r="J628" t="n">
        <v>45316</v>
      </c>
      <c r="K628" t="n">
        <v>10948.47</v>
      </c>
    </row>
    <row r="629">
      <c r="A629" t="n">
        <v>2024</v>
      </c>
      <c r="B629" t="n">
        <v>5</v>
      </c>
      <c r="C629" t="inlineStr">
        <is>
          <t>TMPM2</t>
        </is>
      </c>
      <c r="D629" t="n">
        <v>178.81</v>
      </c>
      <c r="E629" t="n">
        <v>25824</v>
      </c>
      <c r="F629" t="n">
        <v/>
      </c>
      <c r="G629" t="n">
        <v/>
      </c>
      <c r="H629" t="n">
        <v>0.2507</v>
      </c>
      <c r="I629" t="n">
        <v/>
      </c>
      <c r="J629" t="n">
        <v>51330</v>
      </c>
      <c r="K629" t="n">
        <v>12868.58</v>
      </c>
    </row>
    <row r="630">
      <c r="A630" t="n">
        <v>2024</v>
      </c>
      <c r="B630" t="n">
        <v>6</v>
      </c>
      <c r="C630" t="inlineStr">
        <is>
          <t>TMPM2</t>
        </is>
      </c>
      <c r="D630" t="n">
        <v>7.35</v>
      </c>
      <c r="E630" t="n">
        <v>2632</v>
      </c>
      <c r="F630" t="n">
        <v/>
      </c>
      <c r="G630" t="n">
        <v/>
      </c>
      <c r="H630" t="n">
        <v>0.2722</v>
      </c>
      <c r="I630" t="n">
        <v/>
      </c>
      <c r="J630" t="n">
        <v>42151</v>
      </c>
      <c r="K630" t="n">
        <v>11473.9</v>
      </c>
    </row>
    <row r="631">
      <c r="A631" t="n">
        <v>2024</v>
      </c>
      <c r="B631" t="n">
        <v>7</v>
      </c>
      <c r="C631" t="inlineStr">
        <is>
          <t>TMPM2</t>
        </is>
      </c>
      <c r="D631" t="n">
        <v>112.09</v>
      </c>
      <c r="E631" t="n">
        <v>32609</v>
      </c>
      <c r="F631" t="n">
        <v/>
      </c>
      <c r="G631" t="n">
        <v/>
      </c>
      <c r="H631" t="n">
        <v>0.287</v>
      </c>
      <c r="I631" t="n">
        <v/>
      </c>
      <c r="J631" t="n">
        <v>67581</v>
      </c>
      <c r="K631" t="n">
        <v>19396.73</v>
      </c>
    </row>
    <row r="632">
      <c r="A632" t="n">
        <v>2024</v>
      </c>
      <c r="B632" t="n">
        <v>8</v>
      </c>
      <c r="C632" t="inlineStr">
        <is>
          <t>TMPM2</t>
        </is>
      </c>
      <c r="D632" t="n">
        <v>21.29</v>
      </c>
      <c r="E632" t="n">
        <v>3856</v>
      </c>
      <c r="F632" t="n">
        <v/>
      </c>
      <c r="G632" t="n">
        <v/>
      </c>
      <c r="H632" t="n">
        <v>0.3047</v>
      </c>
      <c r="I632" t="n">
        <v/>
      </c>
      <c r="J632" t="n">
        <v>44796</v>
      </c>
      <c r="K632" t="n">
        <v>13651.04</v>
      </c>
    </row>
    <row r="633">
      <c r="A633" t="n">
        <v>2024</v>
      </c>
      <c r="B633" t="n">
        <v>9</v>
      </c>
      <c r="C633" t="inlineStr">
        <is>
          <t>TMPM2</t>
        </is>
      </c>
      <c r="D633" t="n">
        <v>0</v>
      </c>
      <c r="E633" t="n">
        <v>0</v>
      </c>
      <c r="F633" t="n">
        <v/>
      </c>
      <c r="G633" t="n">
        <v/>
      </c>
      <c r="H633" t="n">
        <v>0.2904</v>
      </c>
      <c r="I633" t="n">
        <v/>
      </c>
      <c r="J633" t="n">
        <v>52599</v>
      </c>
      <c r="K633" t="n">
        <v>15277.15</v>
      </c>
    </row>
    <row r="634">
      <c r="A634" t="n">
        <v>2024</v>
      </c>
      <c r="B634" t="n">
        <v>10</v>
      </c>
      <c r="C634" t="inlineStr">
        <is>
          <t>TMPM2</t>
        </is>
      </c>
      <c r="D634" t="n">
        <v>0</v>
      </c>
      <c r="E634" t="n">
        <v>0</v>
      </c>
      <c r="F634" t="n">
        <v/>
      </c>
      <c r="G634" t="n">
        <v/>
      </c>
      <c r="H634" t="n">
        <v>0.2856</v>
      </c>
      <c r="I634" t="n">
        <v/>
      </c>
      <c r="J634" t="n">
        <v>54362</v>
      </c>
      <c r="K634" t="n">
        <v>15523.99</v>
      </c>
    </row>
    <row r="635">
      <c r="A635" t="n">
        <v>2024</v>
      </c>
      <c r="B635" t="n">
        <v>11</v>
      </c>
      <c r="C635" t="inlineStr">
        <is>
          <t>TMPM2</t>
        </is>
      </c>
      <c r="D635" t="n">
        <v>6.2</v>
      </c>
      <c r="E635" t="n">
        <v>952</v>
      </c>
      <c r="F635" t="n">
        <v>22.83</v>
      </c>
      <c r="G635" t="n">
        <v/>
      </c>
      <c r="H635" t="n">
        <v>0.307</v>
      </c>
      <c r="I635" t="n">
        <v>7.00881</v>
      </c>
      <c r="J635" t="n">
        <v>64157</v>
      </c>
      <c r="K635" t="n">
        <v>19751.41</v>
      </c>
    </row>
    <row r="636">
      <c r="A636" t="n">
        <v>2024</v>
      </c>
      <c r="B636" t="n">
        <v>12</v>
      </c>
      <c r="C636" t="inlineStr">
        <is>
          <t>TMPM2</t>
        </is>
      </c>
      <c r="D636" t="n">
        <v>107.1</v>
      </c>
      <c r="E636" t="n">
        <v>25238</v>
      </c>
      <c r="F636" t="n">
        <v>28.35</v>
      </c>
      <c r="G636" t="n">
        <v/>
      </c>
      <c r="H636" t="n">
        <v>0.331</v>
      </c>
      <c r="I636" t="n">
        <v>9.383850000000001</v>
      </c>
      <c r="J636" t="n">
        <v>51593</v>
      </c>
      <c r="K636" t="n">
        <v>17063.94</v>
      </c>
    </row>
    <row r="637">
      <c r="A637" t="n">
        <v>2025</v>
      </c>
      <c r="B637" t="n">
        <v>1</v>
      </c>
      <c r="C637" t="inlineStr">
        <is>
          <t>TMPM2</t>
        </is>
      </c>
      <c r="D637" t="n">
        <v>0</v>
      </c>
      <c r="E637" t="n">
        <v>0</v>
      </c>
      <c r="F637" t="n">
        <v>1.740000000000002</v>
      </c>
      <c r="G637" t="n">
        <v/>
      </c>
      <c r="H637" t="n">
        <v>0.335</v>
      </c>
      <c r="I637" t="n">
        <v>0.5829000000000008</v>
      </c>
      <c r="J637" t="n">
        <v>61904</v>
      </c>
      <c r="K637" t="n">
        <v>20875.39</v>
      </c>
    </row>
    <row r="638">
      <c r="A638" t="n">
        <v>2025</v>
      </c>
      <c r="B638" t="n">
        <v>2</v>
      </c>
      <c r="C638" t="inlineStr">
        <is>
          <t>TMPM2</t>
        </is>
      </c>
      <c r="D638" t="n">
        <v>0</v>
      </c>
      <c r="E638" t="n">
        <v>0</v>
      </c>
      <c r="F638" t="n">
        <v>1.690000000000005</v>
      </c>
      <c r="G638" t="n">
        <v/>
      </c>
      <c r="H638" t="n">
        <v>0.334</v>
      </c>
      <c r="I638" t="n">
        <v>0.5644600000000017</v>
      </c>
      <c r="J638" t="n">
        <v>60366</v>
      </c>
      <c r="K638" t="n">
        <v>20173.7</v>
      </c>
    </row>
    <row r="639">
      <c r="A639" t="n">
        <v>2025</v>
      </c>
      <c r="B639" t="n">
        <v>3</v>
      </c>
      <c r="C639" t="inlineStr">
        <is>
          <t>TMPM2</t>
        </is>
      </c>
      <c r="D639" t="n">
        <v>0</v>
      </c>
      <c r="E639" t="n">
        <v>0</v>
      </c>
      <c r="F639" t="n">
        <v>2.699999999999996</v>
      </c>
      <c r="G639" t="n">
        <v/>
      </c>
      <c r="H639" t="n">
        <v>0.286</v>
      </c>
      <c r="I639" t="n">
        <v>0.7721999999999989</v>
      </c>
      <c r="J639" t="n">
        <v>58209</v>
      </c>
      <c r="K639" t="n">
        <v>16648.58</v>
      </c>
    </row>
    <row r="640">
      <c r="A640" t="n">
        <v>2025</v>
      </c>
      <c r="B640" t="n">
        <v>4</v>
      </c>
      <c r="C640" t="inlineStr">
        <is>
          <t>TMPM2</t>
        </is>
      </c>
      <c r="D640" t="n">
        <v>40.4</v>
      </c>
      <c r="E640" t="n">
        <v>5772</v>
      </c>
      <c r="F640" t="n">
        <v>16.48</v>
      </c>
      <c r="G640" t="n">
        <v/>
      </c>
      <c r="H640" t="n">
        <v>0.2655</v>
      </c>
      <c r="I640" t="n">
        <v>4.37544</v>
      </c>
      <c r="J640" t="n">
        <v>41269</v>
      </c>
      <c r="K640" t="n">
        <v>10956.7</v>
      </c>
    </row>
    <row r="641">
      <c r="A641" t="n">
        <v>2025</v>
      </c>
      <c r="B641" t="n">
        <v>5</v>
      </c>
      <c r="C641" t="inlineStr">
        <is>
          <t>TMPM2</t>
        </is>
      </c>
      <c r="D641" t="n">
        <v>22.2</v>
      </c>
      <c r="E641" t="n">
        <v>10809</v>
      </c>
      <c r="F641" t="n">
        <v>7</v>
      </c>
      <c r="G641" t="n">
        <v/>
      </c>
      <c r="H641" t="n">
        <v>0.2575</v>
      </c>
      <c r="I641" t="n">
        <v>1.8025</v>
      </c>
      <c r="J641" t="n">
        <v>30809</v>
      </c>
      <c r="K641" t="n">
        <v>7932.95</v>
      </c>
    </row>
    <row r="642">
      <c r="A642" t="n">
        <v>2025</v>
      </c>
      <c r="B642" t="n">
        <v>6</v>
      </c>
      <c r="C642" t="inlineStr">
        <is>
          <t>TMPM2</t>
        </is>
      </c>
      <c r="D642" t="n">
        <v>0</v>
      </c>
      <c r="E642" t="n">
        <v>0</v>
      </c>
      <c r="F642" t="n">
        <v>1.640000000000001</v>
      </c>
      <c r="G642" t="n">
        <v/>
      </c>
      <c r="H642" t="n">
        <v>0.355</v>
      </c>
      <c r="I642" t="n">
        <v>0.5822000000000004</v>
      </c>
      <c r="J642" t="n">
        <v>33644</v>
      </c>
      <c r="K642" t="n">
        <v>11949.42</v>
      </c>
    </row>
    <row r="643">
      <c r="A643" t="n">
        <v>2025</v>
      </c>
      <c r="B643" t="n">
        <v>7</v>
      </c>
      <c r="C643" t="inlineStr">
        <is>
          <t>TMPM2</t>
        </is>
      </c>
      <c r="D643" t="n">
        <v>0</v>
      </c>
      <c r="E643" t="n">
        <v>0</v>
      </c>
      <c r="F643" t="n">
        <v>2.070000000000007</v>
      </c>
      <c r="G643" t="n">
        <v/>
      </c>
      <c r="H643" t="n">
        <v>0.296</v>
      </c>
      <c r="I643" t="n">
        <v>0.612720000000002</v>
      </c>
      <c r="J643" t="n">
        <v>51483</v>
      </c>
      <c r="K643" t="n">
        <v>15262.33</v>
      </c>
    </row>
    <row r="644">
      <c r="A644" t="n">
        <v>2025</v>
      </c>
      <c r="B644" t="n">
        <v>8</v>
      </c>
      <c r="C644" t="inlineStr">
        <is>
          <t>TMPM2</t>
        </is>
      </c>
      <c r="D644" t="n">
        <v>0</v>
      </c>
      <c r="E644" t="n">
        <v>0</v>
      </c>
      <c r="F644" t="n">
        <v>0.3599999999999994</v>
      </c>
      <c r="G644" t="n">
        <v/>
      </c>
      <c r="H644" t="n">
        <v>0.3268</v>
      </c>
      <c r="I644" t="n">
        <v>0.1176479999999998</v>
      </c>
      <c r="J644" t="n">
        <v>17650</v>
      </c>
      <c r="K644" t="n">
        <v>5768.63</v>
      </c>
    </row>
    <row r="645">
      <c r="A645" t="n">
        <v>2025</v>
      </c>
      <c r="B645" t="n">
        <v>9</v>
      </c>
      <c r="C645" t="inlineStr">
        <is>
          <t>TMPM2</t>
        </is>
      </c>
      <c r="D645" t="n">
        <v>0</v>
      </c>
      <c r="E645" t="n">
        <v>0</v>
      </c>
      <c r="F645" t="n">
        <v>1.539999999999992</v>
      </c>
      <c r="G645" t="n">
        <v/>
      </c>
      <c r="H645" t="n">
        <v>0.2732</v>
      </c>
      <c r="I645" t="n">
        <v>0.4207279999999978</v>
      </c>
      <c r="J645" t="n">
        <v>47214</v>
      </c>
      <c r="K645" t="n">
        <v>12897.86</v>
      </c>
    </row>
    <row r="646">
      <c r="A646" t="n">
        <v>2025</v>
      </c>
      <c r="B646" t="n">
        <v>10</v>
      </c>
      <c r="C646" t="inlineStr">
        <is>
          <t>TMPM2</t>
        </is>
      </c>
      <c r="D646" t="n">
        <v>0</v>
      </c>
      <c r="E646" t="n">
        <v>0</v>
      </c>
      <c r="F646" t="n">
        <v>2.040000000000006</v>
      </c>
      <c r="G646" t="n">
        <v/>
      </c>
      <c r="H646" t="n">
        <v>0.2134</v>
      </c>
      <c r="I646" t="n">
        <v>0.4353360000000013</v>
      </c>
      <c r="J646" t="n">
        <v>47533</v>
      </c>
      <c r="K646" t="n">
        <v>13101.09</v>
      </c>
    </row>
    <row r="647">
      <c r="A647" t="n">
        <v>2025</v>
      </c>
      <c r="B647" t="n">
        <v>11</v>
      </c>
      <c r="C647" t="inlineStr">
        <is>
          <t>TMPM2</t>
        </is>
      </c>
      <c r="D647" t="n">
        <v/>
      </c>
      <c r="E647" t="n">
        <v/>
      </c>
      <c r="F647" t="n">
        <v/>
      </c>
      <c r="G647" t="n">
        <v/>
      </c>
      <c r="H647" t="n">
        <v>0</v>
      </c>
      <c r="I647" t="n">
        <v/>
      </c>
      <c r="J647" t="n">
        <v>0</v>
      </c>
      <c r="K647" t="n">
        <v>0</v>
      </c>
    </row>
    <row r="648">
      <c r="A648" t="n">
        <v>2025</v>
      </c>
      <c r="B648" t="n">
        <v>12</v>
      </c>
      <c r="C648" t="inlineStr">
        <is>
          <t>TMPM2</t>
        </is>
      </c>
      <c r="D648" t="n">
        <v/>
      </c>
      <c r="E648" t="n">
        <v/>
      </c>
      <c r="F648" t="n">
        <v/>
      </c>
      <c r="G648" t="n">
        <v/>
      </c>
      <c r="H648" t="n">
        <v>0</v>
      </c>
      <c r="I648" t="n">
        <v/>
      </c>
      <c r="J648" t="n">
        <v>0</v>
      </c>
      <c r="K648" t="n">
        <v>0</v>
      </c>
    </row>
    <row r="649">
      <c r="A649" t="n">
        <v>2024</v>
      </c>
      <c r="B649" t="n">
        <v>1</v>
      </c>
      <c r="C649" t="inlineStr">
        <is>
          <t>TMPMA2</t>
        </is>
      </c>
      <c r="D649" t="n">
        <v>0</v>
      </c>
      <c r="E649" t="n">
        <v>0</v>
      </c>
      <c r="F649" t="n">
        <v/>
      </c>
      <c r="G649" t="n">
        <v/>
      </c>
      <c r="H649" t="n">
        <v>0.2557</v>
      </c>
      <c r="I649" t="n">
        <v/>
      </c>
      <c r="J649" t="n">
        <v>64934</v>
      </c>
      <c r="K649" t="n">
        <v>16601.39</v>
      </c>
    </row>
    <row r="650">
      <c r="A650" t="n">
        <v>2024</v>
      </c>
      <c r="B650" t="n">
        <v>2</v>
      </c>
      <c r="C650" t="inlineStr">
        <is>
          <t>TMPMA2</t>
        </is>
      </c>
      <c r="D650" t="n">
        <v>0</v>
      </c>
      <c r="E650" t="n">
        <v>0</v>
      </c>
      <c r="F650" t="n">
        <v/>
      </c>
      <c r="G650" t="n">
        <v/>
      </c>
      <c r="H650" t="n">
        <v>0.2378</v>
      </c>
      <c r="I650" t="n">
        <v/>
      </c>
      <c r="J650" t="n">
        <v>71197</v>
      </c>
      <c r="K650" t="n">
        <v>16934</v>
      </c>
    </row>
    <row r="651">
      <c r="A651" t="n">
        <v>2024</v>
      </c>
      <c r="B651" t="n">
        <v>3</v>
      </c>
      <c r="C651" t="inlineStr">
        <is>
          <t>TMPMA2</t>
        </is>
      </c>
      <c r="D651" t="n">
        <v>31.5</v>
      </c>
      <c r="E651" t="n">
        <v>8776</v>
      </c>
      <c r="F651" t="n">
        <v/>
      </c>
      <c r="G651" t="n">
        <v/>
      </c>
      <c r="H651" t="n">
        <v>0.2428</v>
      </c>
      <c r="I651" t="n">
        <v/>
      </c>
      <c r="J651" t="n">
        <v>51152</v>
      </c>
      <c r="K651" t="n">
        <v>12419.74</v>
      </c>
    </row>
    <row r="652">
      <c r="A652" t="n">
        <v>2024</v>
      </c>
      <c r="B652" t="n">
        <v>4</v>
      </c>
      <c r="C652" t="inlineStr">
        <is>
          <t>TMPMA2</t>
        </is>
      </c>
      <c r="D652" t="n">
        <v>59.14</v>
      </c>
      <c r="E652" t="n">
        <v>17533</v>
      </c>
      <c r="F652" t="n">
        <v/>
      </c>
      <c r="G652" t="n">
        <v/>
      </c>
      <c r="H652" t="n">
        <v>0.2416</v>
      </c>
      <c r="I652" t="n">
        <v/>
      </c>
      <c r="J652" t="n">
        <v>45316</v>
      </c>
      <c r="K652" t="n">
        <v>10948.47</v>
      </c>
    </row>
    <row r="653">
      <c r="A653" t="n">
        <v>2024</v>
      </c>
      <c r="B653" t="n">
        <v>5</v>
      </c>
      <c r="C653" t="inlineStr">
        <is>
          <t>TMPMA2</t>
        </is>
      </c>
      <c r="D653" t="n">
        <v>0</v>
      </c>
      <c r="E653" t="n">
        <v>0</v>
      </c>
      <c r="F653" t="n">
        <v/>
      </c>
      <c r="G653" t="n">
        <v/>
      </c>
      <c r="H653" t="n">
        <v>0.2507</v>
      </c>
      <c r="I653" t="n">
        <v/>
      </c>
      <c r="J653" t="n">
        <v>51330</v>
      </c>
      <c r="K653" t="n">
        <v>12868.58</v>
      </c>
    </row>
    <row r="654">
      <c r="A654" t="n">
        <v>2024</v>
      </c>
      <c r="B654" t="n">
        <v>6</v>
      </c>
      <c r="C654" t="inlineStr">
        <is>
          <t>TMPMA2</t>
        </is>
      </c>
      <c r="D654" t="n">
        <v>23.68</v>
      </c>
      <c r="E654" t="n">
        <v>8650</v>
      </c>
      <c r="F654" t="n">
        <v/>
      </c>
      <c r="G654" t="n">
        <v/>
      </c>
      <c r="H654" t="n">
        <v>0.2722</v>
      </c>
      <c r="I654" t="n">
        <v/>
      </c>
      <c r="J654" t="n">
        <v>42151</v>
      </c>
      <c r="K654" t="n">
        <v>11473.9</v>
      </c>
    </row>
    <row r="655">
      <c r="A655" t="n">
        <v>2024</v>
      </c>
      <c r="B655" t="n">
        <v>7</v>
      </c>
      <c r="C655" t="inlineStr">
        <is>
          <t>TMPMA2</t>
        </is>
      </c>
      <c r="D655" t="n">
        <v>92.83</v>
      </c>
      <c r="E655" t="n">
        <v>33000</v>
      </c>
      <c r="F655" t="n">
        <v/>
      </c>
      <c r="G655" t="n">
        <v/>
      </c>
      <c r="H655" t="n">
        <v>0.287</v>
      </c>
      <c r="I655" t="n">
        <v/>
      </c>
      <c r="J655" t="n">
        <v>67581</v>
      </c>
      <c r="K655" t="n">
        <v>19396.73</v>
      </c>
    </row>
    <row r="656">
      <c r="A656" t="n">
        <v>2024</v>
      </c>
      <c r="B656" t="n">
        <v>8</v>
      </c>
      <c r="C656" t="inlineStr">
        <is>
          <t>TMPMA2</t>
        </is>
      </c>
      <c r="D656" t="n">
        <v>0</v>
      </c>
      <c r="E656" t="n">
        <v>0</v>
      </c>
      <c r="F656" t="n">
        <v/>
      </c>
      <c r="G656" t="n">
        <v/>
      </c>
      <c r="H656" t="n">
        <v>0.3047</v>
      </c>
      <c r="I656" t="n">
        <v/>
      </c>
      <c r="J656" t="n">
        <v>44796</v>
      </c>
      <c r="K656" t="n">
        <v>13651.04</v>
      </c>
    </row>
    <row r="657">
      <c r="A657" t="n">
        <v>2024</v>
      </c>
      <c r="B657" t="n">
        <v>9</v>
      </c>
      <c r="C657" t="inlineStr">
        <is>
          <t>TMPMA2</t>
        </is>
      </c>
      <c r="D657" t="n">
        <v>20.83</v>
      </c>
      <c r="E657" t="n">
        <v>4500</v>
      </c>
      <c r="F657" t="n">
        <v/>
      </c>
      <c r="G657" t="n">
        <v/>
      </c>
      <c r="H657" t="n">
        <v>0.2904</v>
      </c>
      <c r="I657" t="n">
        <v/>
      </c>
      <c r="J657" t="n">
        <v>52599</v>
      </c>
      <c r="K657" t="n">
        <v>15277.15</v>
      </c>
    </row>
    <row r="658">
      <c r="A658" t="n">
        <v>2024</v>
      </c>
      <c r="B658" t="n">
        <v>10</v>
      </c>
      <c r="C658" t="inlineStr">
        <is>
          <t>TMPMA2</t>
        </is>
      </c>
      <c r="D658" t="n">
        <v>5.2</v>
      </c>
      <c r="E658" t="n">
        <v>1970</v>
      </c>
      <c r="F658" t="n">
        <v/>
      </c>
      <c r="G658" t="n">
        <v/>
      </c>
      <c r="H658" t="n">
        <v>0.2856</v>
      </c>
      <c r="I658" t="n">
        <v/>
      </c>
      <c r="J658" t="n">
        <v>54362</v>
      </c>
      <c r="K658" t="n">
        <v>15523.99</v>
      </c>
    </row>
    <row r="659">
      <c r="A659" t="n">
        <v>2024</v>
      </c>
      <c r="B659" t="n">
        <v>11</v>
      </c>
      <c r="C659" t="inlineStr">
        <is>
          <t>TMPMA2</t>
        </is>
      </c>
      <c r="D659" t="n">
        <v/>
      </c>
      <c r="E659" t="n">
        <v/>
      </c>
      <c r="F659" t="n">
        <v/>
      </c>
      <c r="G659" t="n">
        <v/>
      </c>
      <c r="H659" t="n">
        <v>0.307</v>
      </c>
      <c r="I659" t="n">
        <v>0</v>
      </c>
      <c r="J659" t="n">
        <v>64157</v>
      </c>
      <c r="K659" t="n">
        <v>19751.41</v>
      </c>
    </row>
    <row r="660">
      <c r="A660" t="n">
        <v>2024</v>
      </c>
      <c r="B660" t="n">
        <v>12</v>
      </c>
      <c r="C660" t="inlineStr">
        <is>
          <t>TMPMA2</t>
        </is>
      </c>
      <c r="D660" t="n">
        <v/>
      </c>
      <c r="E660" t="n">
        <v/>
      </c>
      <c r="F660" t="n">
        <v/>
      </c>
      <c r="G660" t="n">
        <v/>
      </c>
      <c r="H660" t="n">
        <v>0.331</v>
      </c>
      <c r="I660" t="n">
        <v>0</v>
      </c>
      <c r="J660" t="n">
        <v>51593</v>
      </c>
      <c r="K660" t="n">
        <v>17063.94</v>
      </c>
    </row>
    <row r="661">
      <c r="A661" t="n">
        <v>2025</v>
      </c>
      <c r="B661" t="n">
        <v>1</v>
      </c>
      <c r="C661" t="inlineStr">
        <is>
          <t>TMPMA2</t>
        </is>
      </c>
      <c r="D661" t="n">
        <v/>
      </c>
      <c r="E661" t="n">
        <v/>
      </c>
      <c r="F661" t="n">
        <v/>
      </c>
      <c r="G661" t="n">
        <v/>
      </c>
      <c r="H661" t="n">
        <v>0.335</v>
      </c>
      <c r="I661" t="n">
        <v>0</v>
      </c>
      <c r="J661" t="n">
        <v>61904</v>
      </c>
      <c r="K661" t="n">
        <v>20875.39</v>
      </c>
    </row>
    <row r="662">
      <c r="A662" t="n">
        <v>2025</v>
      </c>
      <c r="B662" t="n">
        <v>2</v>
      </c>
      <c r="C662" t="inlineStr">
        <is>
          <t>TMPMA2</t>
        </is>
      </c>
      <c r="D662" t="n">
        <v/>
      </c>
      <c r="E662" t="n">
        <v/>
      </c>
      <c r="F662" t="n">
        <v/>
      </c>
      <c r="G662" t="n">
        <v/>
      </c>
      <c r="H662" t="n">
        <v>0.334</v>
      </c>
      <c r="I662" t="n">
        <v>0</v>
      </c>
      <c r="J662" t="n">
        <v>60366</v>
      </c>
      <c r="K662" t="n">
        <v>20173.7</v>
      </c>
    </row>
    <row r="663">
      <c r="A663" t="n">
        <v>2025</v>
      </c>
      <c r="B663" t="n">
        <v>3</v>
      </c>
      <c r="C663" t="inlineStr">
        <is>
          <t>TMPMA2</t>
        </is>
      </c>
      <c r="D663" t="n">
        <v/>
      </c>
      <c r="E663" t="n">
        <v/>
      </c>
      <c r="F663" t="n">
        <v/>
      </c>
      <c r="G663" t="n">
        <v/>
      </c>
      <c r="H663" t="n">
        <v>0.286</v>
      </c>
      <c r="I663" t="n">
        <v>0</v>
      </c>
      <c r="J663" t="n">
        <v>58209</v>
      </c>
      <c r="K663" t="n">
        <v>16648.58</v>
      </c>
    </row>
    <row r="664">
      <c r="A664" t="n">
        <v>2025</v>
      </c>
      <c r="B664" t="n">
        <v>4</v>
      </c>
      <c r="C664" t="inlineStr">
        <is>
          <t>TMPMA2</t>
        </is>
      </c>
      <c r="D664" t="n">
        <v/>
      </c>
      <c r="E664" t="n">
        <v/>
      </c>
      <c r="F664" t="n">
        <v/>
      </c>
      <c r="G664" t="n">
        <v/>
      </c>
      <c r="H664" t="n">
        <v>0.2655</v>
      </c>
      <c r="I664" t="n">
        <v>0</v>
      </c>
      <c r="J664" t="n">
        <v>41269</v>
      </c>
      <c r="K664" t="n">
        <v>10956.7</v>
      </c>
    </row>
    <row r="665">
      <c r="A665" t="n">
        <v>2025</v>
      </c>
      <c r="B665" t="n">
        <v>5</v>
      </c>
      <c r="C665" t="inlineStr">
        <is>
          <t>TMPMA2</t>
        </is>
      </c>
      <c r="D665" t="n">
        <v/>
      </c>
      <c r="E665" t="n">
        <v/>
      </c>
      <c r="F665" t="n">
        <v/>
      </c>
      <c r="G665" t="n">
        <v/>
      </c>
      <c r="H665" t="n">
        <v>0.2575</v>
      </c>
      <c r="I665" t="n">
        <v>0</v>
      </c>
      <c r="J665" t="n">
        <v>30809</v>
      </c>
      <c r="K665" t="n">
        <v>7932.95</v>
      </c>
    </row>
    <row r="666">
      <c r="A666" t="n">
        <v>2025</v>
      </c>
      <c r="B666" t="n">
        <v>6</v>
      </c>
      <c r="C666" t="inlineStr">
        <is>
          <t>TMPMA2</t>
        </is>
      </c>
      <c r="D666" t="n">
        <v/>
      </c>
      <c r="E666" t="n">
        <v/>
      </c>
      <c r="F666" t="n">
        <v/>
      </c>
      <c r="G666" t="n">
        <v/>
      </c>
      <c r="H666" t="n">
        <v>0.355</v>
      </c>
      <c r="I666" t="n">
        <v>0</v>
      </c>
      <c r="J666" t="n">
        <v>33644</v>
      </c>
      <c r="K666" t="n">
        <v>11949.42</v>
      </c>
    </row>
    <row r="667">
      <c r="A667" t="n">
        <v>2025</v>
      </c>
      <c r="B667" t="n">
        <v>7</v>
      </c>
      <c r="C667" t="inlineStr">
        <is>
          <t>TMPMA2</t>
        </is>
      </c>
      <c r="D667" t="n">
        <v/>
      </c>
      <c r="E667" t="n">
        <v/>
      </c>
      <c r="F667" t="n">
        <v/>
      </c>
      <c r="G667" t="n">
        <v/>
      </c>
      <c r="H667" t="n">
        <v>0.296</v>
      </c>
      <c r="I667" t="n">
        <v>0</v>
      </c>
      <c r="J667" t="n">
        <v>51483</v>
      </c>
      <c r="K667" t="n">
        <v>15262.33</v>
      </c>
    </row>
    <row r="668">
      <c r="A668" t="n">
        <v>2025</v>
      </c>
      <c r="B668" t="n">
        <v>8</v>
      </c>
      <c r="C668" t="inlineStr">
        <is>
          <t>TMPMA2</t>
        </is>
      </c>
      <c r="D668" t="n">
        <v/>
      </c>
      <c r="E668" t="n">
        <v/>
      </c>
      <c r="F668" t="n">
        <v/>
      </c>
      <c r="G668" t="n">
        <v/>
      </c>
      <c r="H668" t="n">
        <v>0.3268</v>
      </c>
      <c r="I668" t="n">
        <v>0</v>
      </c>
      <c r="J668" t="n">
        <v>17650</v>
      </c>
      <c r="K668" t="n">
        <v>5768.63</v>
      </c>
    </row>
    <row r="669">
      <c r="A669" t="n">
        <v>2025</v>
      </c>
      <c r="B669" t="n">
        <v>9</v>
      </c>
      <c r="C669" t="inlineStr">
        <is>
          <t>TMPMA2</t>
        </is>
      </c>
      <c r="D669" t="n">
        <v>0</v>
      </c>
      <c r="E669" t="n">
        <v>0</v>
      </c>
      <c r="F669" t="n">
        <v/>
      </c>
      <c r="G669" t="n">
        <v/>
      </c>
      <c r="H669" t="n">
        <v>0.2732</v>
      </c>
      <c r="I669" t="n">
        <v/>
      </c>
      <c r="J669" t="n">
        <v>47214</v>
      </c>
      <c r="K669" t="n">
        <v>0</v>
      </c>
    </row>
    <row r="670">
      <c r="A670" t="n">
        <v>2025</v>
      </c>
      <c r="B670" t="n">
        <v>10</v>
      </c>
      <c r="C670" t="inlineStr">
        <is>
          <t>TMPMA2</t>
        </is>
      </c>
      <c r="D670" t="n">
        <v>0</v>
      </c>
      <c r="E670" t="n">
        <v>0</v>
      </c>
      <c r="F670" t="n">
        <v/>
      </c>
      <c r="G670" t="n">
        <v/>
      </c>
      <c r="H670" t="n">
        <v>0.2134</v>
      </c>
      <c r="I670" t="n">
        <v/>
      </c>
      <c r="J670" t="n">
        <v>47533</v>
      </c>
      <c r="K670" t="n">
        <v>0</v>
      </c>
    </row>
    <row r="671">
      <c r="A671" t="n">
        <v>2025</v>
      </c>
      <c r="B671" t="n">
        <v>11</v>
      </c>
      <c r="C671" t="inlineStr">
        <is>
          <t>TMPMA2</t>
        </is>
      </c>
      <c r="D671" t="n">
        <v/>
      </c>
      <c r="E671" t="n">
        <v/>
      </c>
      <c r="F671" t="n">
        <v/>
      </c>
      <c r="G671" t="n">
        <v/>
      </c>
      <c r="H671" t="n">
        <v>0</v>
      </c>
      <c r="I671" t="n">
        <v/>
      </c>
      <c r="J671" t="n">
        <v>0</v>
      </c>
      <c r="K671" t="n">
        <v>0</v>
      </c>
    </row>
    <row r="672">
      <c r="A672" t="n">
        <v>2025</v>
      </c>
      <c r="B672" t="n">
        <v>12</v>
      </c>
      <c r="C672" t="inlineStr">
        <is>
          <t>TMPMA2</t>
        </is>
      </c>
      <c r="D672" t="n">
        <v/>
      </c>
      <c r="E672" t="n">
        <v/>
      </c>
      <c r="F672" t="n">
        <v/>
      </c>
      <c r="G672" t="n">
        <v/>
      </c>
      <c r="H672" t="n">
        <v>0</v>
      </c>
      <c r="I672" t="n">
        <v/>
      </c>
      <c r="J672" t="n">
        <v>0</v>
      </c>
      <c r="K672" t="n">
        <v>0</v>
      </c>
    </row>
    <row r="673">
      <c r="A673" t="n">
        <v>2024</v>
      </c>
      <c r="B673" t="n">
        <v>1</v>
      </c>
      <c r="C673" t="inlineStr">
        <is>
          <t>TROV</t>
        </is>
      </c>
      <c r="D673" t="n">
        <v>29.92</v>
      </c>
      <c r="E673" t="n">
        <v>4000</v>
      </c>
      <c r="F673" t="n">
        <v/>
      </c>
      <c r="G673" t="n">
        <v/>
      </c>
      <c r="H673" t="n">
        <v>0.2557</v>
      </c>
      <c r="I673" t="n">
        <v/>
      </c>
      <c r="J673" t="n">
        <v>64934</v>
      </c>
      <c r="K673" t="n">
        <v>16601.39</v>
      </c>
    </row>
    <row r="674">
      <c r="A674" t="n">
        <v>2024</v>
      </c>
      <c r="B674" t="n">
        <v>2</v>
      </c>
      <c r="C674" t="inlineStr">
        <is>
          <t>TROV</t>
        </is>
      </c>
      <c r="D674" t="n">
        <v>43</v>
      </c>
      <c r="E674" t="n">
        <v>51840</v>
      </c>
      <c r="F674" t="n">
        <v/>
      </c>
      <c r="G674" t="n">
        <v/>
      </c>
      <c r="H674" t="n">
        <v>0.2378</v>
      </c>
      <c r="I674" t="n">
        <v/>
      </c>
      <c r="J674" t="n">
        <v>71197</v>
      </c>
      <c r="K674" t="n">
        <v>16934</v>
      </c>
    </row>
    <row r="675">
      <c r="A675" t="n">
        <v>2024</v>
      </c>
      <c r="B675" t="n">
        <v>3</v>
      </c>
      <c r="C675" t="inlineStr">
        <is>
          <t>TROV</t>
        </is>
      </c>
      <c r="D675" t="n">
        <v>171.23</v>
      </c>
      <c r="E675" t="n">
        <v>45252</v>
      </c>
      <c r="F675" t="n">
        <v/>
      </c>
      <c r="G675" t="n">
        <v/>
      </c>
      <c r="H675" t="n">
        <v>0.2428</v>
      </c>
      <c r="I675" t="n">
        <v/>
      </c>
      <c r="J675" t="n">
        <v>51152</v>
      </c>
      <c r="K675" t="n">
        <v>12419.74</v>
      </c>
    </row>
    <row r="676">
      <c r="A676" t="n">
        <v>2024</v>
      </c>
      <c r="B676" t="n">
        <v>4</v>
      </c>
      <c r="C676" t="inlineStr">
        <is>
          <t>TROV</t>
        </is>
      </c>
      <c r="D676" t="n">
        <v>196.26</v>
      </c>
      <c r="E676" t="n">
        <v>92812</v>
      </c>
      <c r="F676" t="n">
        <v/>
      </c>
      <c r="G676" t="n">
        <v/>
      </c>
      <c r="H676" t="n">
        <v>0.2416</v>
      </c>
      <c r="I676" t="n">
        <v/>
      </c>
      <c r="J676" t="n">
        <v>45316</v>
      </c>
      <c r="K676" t="n">
        <v>10948.47</v>
      </c>
    </row>
    <row r="677">
      <c r="A677" t="n">
        <v>2024</v>
      </c>
      <c r="B677" t="n">
        <v>5</v>
      </c>
      <c r="C677" t="inlineStr">
        <is>
          <t>TROV</t>
        </is>
      </c>
      <c r="D677" t="n">
        <v>172.31</v>
      </c>
      <c r="E677" t="n">
        <v>116091</v>
      </c>
      <c r="F677" t="n">
        <v/>
      </c>
      <c r="G677" t="n">
        <v/>
      </c>
      <c r="H677" t="n">
        <v>0.2507</v>
      </c>
      <c r="I677" t="n">
        <v/>
      </c>
      <c r="J677" t="n">
        <v>51330</v>
      </c>
      <c r="K677" t="n">
        <v>12868.58</v>
      </c>
    </row>
    <row r="678">
      <c r="A678" t="n">
        <v>2024</v>
      </c>
      <c r="B678" t="n">
        <v>6</v>
      </c>
      <c r="C678" t="inlineStr">
        <is>
          <t>TROV</t>
        </is>
      </c>
      <c r="D678" t="n">
        <v>77.91</v>
      </c>
      <c r="E678" t="n">
        <v>53400</v>
      </c>
      <c r="F678" t="n">
        <v/>
      </c>
      <c r="G678" t="n">
        <v/>
      </c>
      <c r="H678" t="n">
        <v>0.2722</v>
      </c>
      <c r="I678" t="n">
        <v/>
      </c>
      <c r="J678" t="n">
        <v>42151</v>
      </c>
      <c r="K678" t="n">
        <v>11473.9</v>
      </c>
    </row>
    <row r="679">
      <c r="A679" t="n">
        <v>2024</v>
      </c>
      <c r="B679" t="n">
        <v>7</v>
      </c>
      <c r="C679" t="inlineStr">
        <is>
          <t>TROV</t>
        </is>
      </c>
      <c r="D679" t="n">
        <v>148.85</v>
      </c>
      <c r="E679" t="n">
        <v>62642</v>
      </c>
      <c r="F679" t="n">
        <v/>
      </c>
      <c r="G679" t="n">
        <v/>
      </c>
      <c r="H679" t="n">
        <v>0.287</v>
      </c>
      <c r="I679" t="n">
        <v/>
      </c>
      <c r="J679" t="n">
        <v>67581</v>
      </c>
      <c r="K679" t="n">
        <v>19396.73</v>
      </c>
    </row>
    <row r="680">
      <c r="A680" t="n">
        <v>2024</v>
      </c>
      <c r="B680" t="n">
        <v>8</v>
      </c>
      <c r="C680" t="inlineStr">
        <is>
          <t>TROV</t>
        </is>
      </c>
      <c r="D680" t="n">
        <v>111.53</v>
      </c>
      <c r="E680" t="n">
        <v>68332</v>
      </c>
      <c r="F680" t="n">
        <v/>
      </c>
      <c r="G680" t="n">
        <v/>
      </c>
      <c r="H680" t="n">
        <v>0.3047</v>
      </c>
      <c r="I680" t="n">
        <v/>
      </c>
      <c r="J680" t="n">
        <v>44796</v>
      </c>
      <c r="K680" t="n">
        <v>13651.04</v>
      </c>
    </row>
    <row r="681">
      <c r="A681" t="n">
        <v>2024</v>
      </c>
      <c r="B681" t="n">
        <v>9</v>
      </c>
      <c r="C681" t="inlineStr">
        <is>
          <t>TROV</t>
        </is>
      </c>
      <c r="D681" t="n">
        <v>43.69</v>
      </c>
      <c r="E681" t="n">
        <v>23528</v>
      </c>
      <c r="F681" t="n">
        <v/>
      </c>
      <c r="G681" t="n">
        <v/>
      </c>
      <c r="H681" t="n">
        <v>0.2904</v>
      </c>
      <c r="I681" t="n">
        <v/>
      </c>
      <c r="J681" t="n">
        <v>52599</v>
      </c>
      <c r="K681" t="n">
        <v>15277.15</v>
      </c>
    </row>
    <row r="682">
      <c r="A682" t="n">
        <v>2024</v>
      </c>
      <c r="B682" t="n">
        <v>10</v>
      </c>
      <c r="C682" t="inlineStr">
        <is>
          <t>TROV</t>
        </is>
      </c>
      <c r="D682" t="n">
        <v>91.06</v>
      </c>
      <c r="E682" t="n">
        <v>52681</v>
      </c>
      <c r="F682" t="n">
        <v/>
      </c>
      <c r="G682" t="n">
        <v/>
      </c>
      <c r="H682" t="n">
        <v>0.2856</v>
      </c>
      <c r="I682" t="n">
        <v/>
      </c>
      <c r="J682" t="n">
        <v>54362</v>
      </c>
      <c r="K682" t="n">
        <v>15523.99</v>
      </c>
    </row>
    <row r="683">
      <c r="A683" t="n">
        <v>2024</v>
      </c>
      <c r="B683" t="n">
        <v>11</v>
      </c>
      <c r="C683" t="inlineStr">
        <is>
          <t>TROV</t>
        </is>
      </c>
      <c r="D683" t="n">
        <v>96.7</v>
      </c>
      <c r="E683" t="n">
        <v>62726</v>
      </c>
      <c r="F683" t="n">
        <v>534.46</v>
      </c>
      <c r="G683" t="n">
        <v/>
      </c>
      <c r="H683" t="n">
        <v>0.307</v>
      </c>
      <c r="I683" t="n">
        <v>164.07922</v>
      </c>
      <c r="J683" t="n">
        <v>64157</v>
      </c>
      <c r="K683" t="n">
        <v>19751.41</v>
      </c>
    </row>
    <row r="684">
      <c r="A684" t="n">
        <v>2024</v>
      </c>
      <c r="B684" t="n">
        <v>12</v>
      </c>
      <c r="C684" t="inlineStr">
        <is>
          <t>TROV</t>
        </is>
      </c>
      <c r="D684" t="n">
        <v>72.09999999999999</v>
      </c>
      <c r="E684" t="n">
        <v>30052</v>
      </c>
      <c r="F684" t="n">
        <v>365.86</v>
      </c>
      <c r="G684" t="n">
        <v/>
      </c>
      <c r="H684" t="n">
        <v>0.331</v>
      </c>
      <c r="I684" t="n">
        <v>121.09966</v>
      </c>
      <c r="J684" t="n">
        <v>51593</v>
      </c>
      <c r="K684" t="n">
        <v>17063.94</v>
      </c>
    </row>
    <row r="685">
      <c r="A685" t="n">
        <v>2025</v>
      </c>
      <c r="B685" t="n">
        <v>1</v>
      </c>
      <c r="C685" t="inlineStr">
        <is>
          <t>TROV</t>
        </is>
      </c>
      <c r="D685" t="n">
        <v>60.2</v>
      </c>
      <c r="E685" t="n">
        <v>33464</v>
      </c>
      <c r="F685" t="n">
        <v>354.55</v>
      </c>
      <c r="G685" t="n">
        <v/>
      </c>
      <c r="H685" t="n">
        <v>0.335</v>
      </c>
      <c r="I685" t="n">
        <v>118.77425</v>
      </c>
      <c r="J685" t="n">
        <v>61904</v>
      </c>
      <c r="K685" t="n">
        <v>20875.39</v>
      </c>
    </row>
    <row r="686">
      <c r="A686" t="n">
        <v>2025</v>
      </c>
      <c r="B686" t="n">
        <v>2</v>
      </c>
      <c r="C686" t="inlineStr">
        <is>
          <t>TROV</t>
        </is>
      </c>
      <c r="D686" t="n">
        <v>87.3</v>
      </c>
      <c r="E686" t="n">
        <v>49428</v>
      </c>
      <c r="F686" t="n">
        <v>478.0400000000002</v>
      </c>
      <c r="G686" t="n">
        <v/>
      </c>
      <c r="H686" t="n">
        <v>0.334</v>
      </c>
      <c r="I686" t="n">
        <v>159.6653600000001</v>
      </c>
      <c r="J686" t="n">
        <v>60366</v>
      </c>
      <c r="K686" t="n">
        <v>20173.7</v>
      </c>
    </row>
    <row r="687">
      <c r="A687" t="n">
        <v>2025</v>
      </c>
      <c r="B687" t="n">
        <v>3</v>
      </c>
      <c r="C687" t="inlineStr">
        <is>
          <t>TROV</t>
        </is>
      </c>
      <c r="D687" t="n">
        <v>83.40000000000001</v>
      </c>
      <c r="E687" t="n">
        <v>54715</v>
      </c>
      <c r="F687" t="n">
        <v>491.0700000000002</v>
      </c>
      <c r="G687" t="n">
        <v/>
      </c>
      <c r="H687" t="n">
        <v>0.286</v>
      </c>
      <c r="I687" t="n">
        <v>140.4460200000001</v>
      </c>
      <c r="J687" t="n">
        <v>58209</v>
      </c>
      <c r="K687" t="n">
        <v>16648.58</v>
      </c>
    </row>
    <row r="688">
      <c r="A688" t="n">
        <v>2025</v>
      </c>
      <c r="B688" t="n">
        <v>4</v>
      </c>
      <c r="C688" t="inlineStr">
        <is>
          <t>TROV</t>
        </is>
      </c>
      <c r="D688" t="n">
        <v>93.2</v>
      </c>
      <c r="E688" t="n">
        <v>66697</v>
      </c>
      <c r="F688" t="n">
        <v>526.9799999999996</v>
      </c>
      <c r="G688" t="n">
        <v/>
      </c>
      <c r="H688" t="n">
        <v>0.2655</v>
      </c>
      <c r="I688" t="n">
        <v>139.9131899999999</v>
      </c>
      <c r="J688" t="n">
        <v>41269</v>
      </c>
      <c r="K688" t="n">
        <v>10956.7</v>
      </c>
    </row>
    <row r="689">
      <c r="A689" t="n">
        <v>2025</v>
      </c>
      <c r="B689" t="n">
        <v>5</v>
      </c>
      <c r="C689" t="inlineStr">
        <is>
          <t>TROV</t>
        </is>
      </c>
      <c r="D689" t="n">
        <v>68.5</v>
      </c>
      <c r="E689" t="n">
        <v>28642</v>
      </c>
      <c r="F689" t="n">
        <v>288.9400000000001</v>
      </c>
      <c r="G689" t="n">
        <v/>
      </c>
      <c r="H689" t="n">
        <v>0.2575</v>
      </c>
      <c r="I689" t="n">
        <v>74.40205000000003</v>
      </c>
      <c r="J689" t="n">
        <v>30809</v>
      </c>
      <c r="K689" t="n">
        <v>7932.95</v>
      </c>
    </row>
    <row r="690">
      <c r="A690" t="n">
        <v>2025</v>
      </c>
      <c r="B690" t="n">
        <v>6</v>
      </c>
      <c r="C690" t="inlineStr">
        <is>
          <t>TROV</t>
        </is>
      </c>
      <c r="D690" t="n">
        <v>367.4</v>
      </c>
      <c r="E690" t="n">
        <v>7844</v>
      </c>
      <c r="F690" t="n">
        <v>72.51999999999998</v>
      </c>
      <c r="G690" t="n">
        <v/>
      </c>
      <c r="H690" t="n">
        <v>0.355</v>
      </c>
      <c r="I690" t="n">
        <v>25.74459999999999</v>
      </c>
      <c r="J690" t="n">
        <v>33644</v>
      </c>
      <c r="K690" t="n">
        <v>11949.42</v>
      </c>
    </row>
    <row r="691">
      <c r="A691" t="n">
        <v>2025</v>
      </c>
      <c r="B691" t="n">
        <v>7</v>
      </c>
      <c r="C691" t="inlineStr">
        <is>
          <t>TROV</t>
        </is>
      </c>
      <c r="D691" t="n">
        <v>5.2</v>
      </c>
      <c r="E691" t="n">
        <v>2000</v>
      </c>
      <c r="F691" t="n">
        <v>45.5300000000002</v>
      </c>
      <c r="G691" t="n">
        <v/>
      </c>
      <c r="H691" t="n">
        <v>0.296</v>
      </c>
      <c r="I691" t="n">
        <v>13.47688000000006</v>
      </c>
      <c r="J691" t="n">
        <v>51483</v>
      </c>
      <c r="K691" t="n">
        <v>15262.33</v>
      </c>
    </row>
    <row r="692">
      <c r="A692" t="n">
        <v>2025</v>
      </c>
      <c r="B692" t="n">
        <v>8</v>
      </c>
      <c r="C692" t="inlineStr">
        <is>
          <t>TROV</t>
        </is>
      </c>
      <c r="D692" t="n">
        <v>2.83</v>
      </c>
      <c r="E692" t="n">
        <v>2266</v>
      </c>
      <c r="F692" t="n">
        <v>16.05999999999995</v>
      </c>
      <c r="G692" t="n">
        <v/>
      </c>
      <c r="H692" t="n">
        <v>0.3268</v>
      </c>
      <c r="I692" t="n">
        <v>5.248407999999983</v>
      </c>
      <c r="J692" t="n">
        <v>17650</v>
      </c>
      <c r="K692" t="n">
        <v>5768.63</v>
      </c>
    </row>
    <row r="693">
      <c r="A693" t="n">
        <v>2025</v>
      </c>
      <c r="B693" t="n">
        <v>9</v>
      </c>
      <c r="C693" t="inlineStr">
        <is>
          <t>TROV</t>
        </is>
      </c>
      <c r="D693" t="n">
        <v>9.029999999999999</v>
      </c>
      <c r="E693" t="n">
        <v>5308</v>
      </c>
      <c r="F693" t="n">
        <v>113.23</v>
      </c>
      <c r="G693" t="n">
        <v/>
      </c>
      <c r="H693" t="n">
        <v>0.2732</v>
      </c>
      <c r="I693" t="n">
        <v>30.934436</v>
      </c>
      <c r="J693" t="n">
        <v>47214</v>
      </c>
      <c r="K693" t="n">
        <v>0</v>
      </c>
    </row>
    <row r="694">
      <c r="A694" t="n">
        <v>2025</v>
      </c>
      <c r="B694" t="n">
        <v>10</v>
      </c>
      <c r="C694" t="inlineStr">
        <is>
          <t>TROV</t>
        </is>
      </c>
      <c r="D694" t="n">
        <v>0</v>
      </c>
      <c r="E694" t="n">
        <v>0</v>
      </c>
      <c r="F694" t="n">
        <v>294.7600000000002</v>
      </c>
      <c r="G694" t="n">
        <v/>
      </c>
      <c r="H694" t="n">
        <v>0.2134</v>
      </c>
      <c r="I694" t="n">
        <v>62.90178400000005</v>
      </c>
      <c r="J694" t="n">
        <v>47533</v>
      </c>
      <c r="K694" t="n">
        <v>0</v>
      </c>
    </row>
    <row r="695">
      <c r="A695" t="n">
        <v>2025</v>
      </c>
      <c r="B695" t="n">
        <v>11</v>
      </c>
      <c r="C695" t="inlineStr">
        <is>
          <t>TROV</t>
        </is>
      </c>
      <c r="D695" t="n">
        <v/>
      </c>
      <c r="E695" t="n">
        <v/>
      </c>
      <c r="F695" t="n">
        <v/>
      </c>
      <c r="G695" t="n">
        <v/>
      </c>
      <c r="H695" t="n">
        <v>0</v>
      </c>
      <c r="I695" t="n">
        <v>0</v>
      </c>
      <c r="J695" t="n">
        <v>0</v>
      </c>
      <c r="K695" t="n">
        <v>0</v>
      </c>
    </row>
    <row r="696">
      <c r="A696" t="n">
        <v>2025</v>
      </c>
      <c r="B696" t="n">
        <v>12</v>
      </c>
      <c r="C696" t="inlineStr">
        <is>
          <t>TROV</t>
        </is>
      </c>
      <c r="D696" t="n">
        <v/>
      </c>
      <c r="E696" t="n">
        <v/>
      </c>
      <c r="F696" t="n">
        <v/>
      </c>
      <c r="G696" t="n">
        <v/>
      </c>
      <c r="H696" t="n">
        <v>0</v>
      </c>
      <c r="I696" t="n">
        <v>0</v>
      </c>
      <c r="J696" t="n">
        <v>0</v>
      </c>
      <c r="K696" t="n">
        <v>0</v>
      </c>
    </row>
    <row r="697">
      <c r="A697" t="n">
        <v>2024</v>
      </c>
      <c r="B697" t="n">
        <v>1</v>
      </c>
      <c r="C697" t="inlineStr">
        <is>
          <t>COMPRESSORI</t>
        </is>
      </c>
      <c r="D697" t="n">
        <v/>
      </c>
      <c r="E697" t="n">
        <v/>
      </c>
      <c r="F697" t="n">
        <v/>
      </c>
      <c r="G697" t="n">
        <v/>
      </c>
      <c r="H697" t="n">
        <v>0.2557</v>
      </c>
      <c r="I697" t="n">
        <v/>
      </c>
      <c r="J697" t="n">
        <v>64934</v>
      </c>
      <c r="K697" t="n">
        <v>16601.39</v>
      </c>
    </row>
    <row r="698">
      <c r="A698" t="n">
        <v>2024</v>
      </c>
      <c r="B698" t="n">
        <v>2</v>
      </c>
      <c r="C698" t="inlineStr">
        <is>
          <t>COMPRESSORI</t>
        </is>
      </c>
      <c r="D698" t="n">
        <v/>
      </c>
      <c r="E698" t="n">
        <v/>
      </c>
      <c r="F698" t="n">
        <v/>
      </c>
      <c r="G698" t="n">
        <v/>
      </c>
      <c r="H698" t="n">
        <v>0.2378</v>
      </c>
      <c r="I698" t="n">
        <v/>
      </c>
      <c r="J698" t="n">
        <v>71197</v>
      </c>
      <c r="K698" t="n">
        <v>16934</v>
      </c>
    </row>
    <row r="699">
      <c r="A699" t="n">
        <v>2024</v>
      </c>
      <c r="B699" t="n">
        <v>3</v>
      </c>
      <c r="C699" t="inlineStr">
        <is>
          <t>COMPRESSORI</t>
        </is>
      </c>
      <c r="D699" t="n">
        <v/>
      </c>
      <c r="E699" t="n">
        <v/>
      </c>
      <c r="F699" t="n">
        <v/>
      </c>
      <c r="G699" t="n">
        <v/>
      </c>
      <c r="H699" t="n">
        <v>0.2428</v>
      </c>
      <c r="I699" t="n">
        <v/>
      </c>
      <c r="J699" t="n">
        <v>51152</v>
      </c>
      <c r="K699" t="n">
        <v>12419.74</v>
      </c>
    </row>
    <row r="700">
      <c r="A700" t="n">
        <v>2024</v>
      </c>
      <c r="B700" t="n">
        <v>4</v>
      </c>
      <c r="C700" t="inlineStr">
        <is>
          <t>COMPRESSORI</t>
        </is>
      </c>
      <c r="D700" t="n">
        <v/>
      </c>
      <c r="E700" t="n">
        <v/>
      </c>
      <c r="F700" t="n">
        <v/>
      </c>
      <c r="G700" t="n">
        <v/>
      </c>
      <c r="H700" t="n">
        <v>0.2416</v>
      </c>
      <c r="I700" t="n">
        <v/>
      </c>
      <c r="J700" t="n">
        <v>45316</v>
      </c>
      <c r="K700" t="n">
        <v>10948.47</v>
      </c>
    </row>
    <row r="701">
      <c r="A701" t="n">
        <v>2024</v>
      </c>
      <c r="B701" t="n">
        <v>5</v>
      </c>
      <c r="C701" t="inlineStr">
        <is>
          <t>COMPRESSORI</t>
        </is>
      </c>
      <c r="D701" t="n">
        <v/>
      </c>
      <c r="E701" t="n">
        <v/>
      </c>
      <c r="F701" t="n">
        <v/>
      </c>
      <c r="G701" t="n">
        <v/>
      </c>
      <c r="H701" t="n">
        <v>0.2507</v>
      </c>
      <c r="I701" t="n">
        <v/>
      </c>
      <c r="J701" t="n">
        <v>51330</v>
      </c>
      <c r="K701" t="n">
        <v>12868.58</v>
      </c>
    </row>
    <row r="702">
      <c r="A702" t="n">
        <v>2024</v>
      </c>
      <c r="B702" t="n">
        <v>6</v>
      </c>
      <c r="C702" t="inlineStr">
        <is>
          <t>COMPRESSORI</t>
        </is>
      </c>
      <c r="D702" t="n">
        <v/>
      </c>
      <c r="E702" t="n">
        <v/>
      </c>
      <c r="F702" t="n">
        <v/>
      </c>
      <c r="G702" t="n">
        <v/>
      </c>
      <c r="H702" t="n">
        <v>0.2722</v>
      </c>
      <c r="I702" t="n">
        <v/>
      </c>
      <c r="J702" t="n">
        <v>42151</v>
      </c>
      <c r="K702" t="n">
        <v>11473.9</v>
      </c>
    </row>
    <row r="703">
      <c r="A703" t="n">
        <v>2024</v>
      </c>
      <c r="B703" t="n">
        <v>7</v>
      </c>
      <c r="C703" t="inlineStr">
        <is>
          <t>COMPRESSORI</t>
        </is>
      </c>
      <c r="D703" t="n">
        <v/>
      </c>
      <c r="E703" t="n">
        <v/>
      </c>
      <c r="F703" t="n">
        <v/>
      </c>
      <c r="G703" t="n">
        <v/>
      </c>
      <c r="H703" t="n">
        <v>0.287</v>
      </c>
      <c r="I703" t="n">
        <v/>
      </c>
      <c r="J703" t="n">
        <v>67581</v>
      </c>
      <c r="K703" t="n">
        <v>19396.73</v>
      </c>
    </row>
    <row r="704">
      <c r="A704" t="n">
        <v>2024</v>
      </c>
      <c r="B704" t="n">
        <v>8</v>
      </c>
      <c r="C704" t="inlineStr">
        <is>
          <t>COMPRESSORI</t>
        </is>
      </c>
      <c r="D704" t="n">
        <v/>
      </c>
      <c r="E704" t="n">
        <v/>
      </c>
      <c r="F704" t="n">
        <v/>
      </c>
      <c r="G704" t="n">
        <v/>
      </c>
      <c r="H704" t="n">
        <v>0.3047</v>
      </c>
      <c r="I704" t="n">
        <v/>
      </c>
      <c r="J704" t="n">
        <v>44796</v>
      </c>
      <c r="K704" t="n">
        <v>13651.04</v>
      </c>
    </row>
    <row r="705">
      <c r="A705" t="n">
        <v>2024</v>
      </c>
      <c r="B705" t="n">
        <v>9</v>
      </c>
      <c r="C705" t="inlineStr">
        <is>
          <t>COMPRESSORI</t>
        </is>
      </c>
      <c r="D705" t="n">
        <v/>
      </c>
      <c r="E705" t="n">
        <v/>
      </c>
      <c r="F705" t="n">
        <v/>
      </c>
      <c r="G705" t="n">
        <v/>
      </c>
      <c r="H705" t="n">
        <v>0.2904</v>
      </c>
      <c r="I705" t="n">
        <v/>
      </c>
      <c r="J705" t="n">
        <v>52599</v>
      </c>
      <c r="K705" t="n">
        <v>15277.15</v>
      </c>
    </row>
    <row r="706">
      <c r="A706" t="n">
        <v>2024</v>
      </c>
      <c r="B706" t="n">
        <v>10</v>
      </c>
      <c r="C706" t="inlineStr">
        <is>
          <t>COMPRESSORI</t>
        </is>
      </c>
      <c r="D706" t="n">
        <v/>
      </c>
      <c r="E706" t="n">
        <v/>
      </c>
      <c r="F706" t="n">
        <v/>
      </c>
      <c r="G706" t="n">
        <v/>
      </c>
      <c r="H706" t="n">
        <v>0.2856</v>
      </c>
      <c r="I706" t="n">
        <v/>
      </c>
      <c r="J706" t="n">
        <v>54362</v>
      </c>
      <c r="K706" t="n">
        <v>15523.99</v>
      </c>
    </row>
    <row r="707">
      <c r="A707" t="n">
        <v>2024</v>
      </c>
      <c r="B707" t="n">
        <v>11</v>
      </c>
      <c r="C707" t="inlineStr">
        <is>
          <t>COMPRESSORI</t>
        </is>
      </c>
      <c r="D707" t="n">
        <v/>
      </c>
      <c r="E707" t="n">
        <v/>
      </c>
      <c r="F707" t="n">
        <v>10989.38</v>
      </c>
      <c r="G707" t="n">
        <v>10989.38</v>
      </c>
      <c r="H707" t="n">
        <v>0.307</v>
      </c>
      <c r="I707" t="n">
        <v>3373.73966</v>
      </c>
      <c r="J707" t="n">
        <v>64157</v>
      </c>
      <c r="K707" t="n">
        <v>19751.41</v>
      </c>
    </row>
    <row r="708">
      <c r="A708" t="n">
        <v>2024</v>
      </c>
      <c r="B708" t="n">
        <v>12</v>
      </c>
      <c r="C708" t="inlineStr">
        <is>
          <t>COMPRESSORI</t>
        </is>
      </c>
      <c r="D708" t="n">
        <v/>
      </c>
      <c r="E708" t="n">
        <v/>
      </c>
      <c r="F708" t="n">
        <v>8629.26</v>
      </c>
      <c r="G708" t="n">
        <v>8629.26</v>
      </c>
      <c r="H708" t="n">
        <v>0.331</v>
      </c>
      <c r="I708" t="n">
        <v>2856.28506</v>
      </c>
      <c r="J708" t="n">
        <v>51593</v>
      </c>
      <c r="K708" t="n">
        <v>17063.94</v>
      </c>
    </row>
    <row r="709">
      <c r="A709" t="n">
        <v>2025</v>
      </c>
      <c r="B709" t="n">
        <v>1</v>
      </c>
      <c r="C709" t="inlineStr">
        <is>
          <t>COMPRESSORI</t>
        </is>
      </c>
      <c r="D709" t="n">
        <v/>
      </c>
      <c r="E709" t="n">
        <v/>
      </c>
      <c r="F709" t="n">
        <v>8829.129999999999</v>
      </c>
      <c r="G709" t="n">
        <v>8829.129999999999</v>
      </c>
      <c r="H709" t="n">
        <v>0.335</v>
      </c>
      <c r="I709" t="n">
        <v>2957.75855</v>
      </c>
      <c r="J709" t="n">
        <v>61904</v>
      </c>
      <c r="K709" t="n">
        <v>20875.39</v>
      </c>
    </row>
    <row r="710">
      <c r="A710" t="n">
        <v>2025</v>
      </c>
      <c r="B710" t="n">
        <v>2</v>
      </c>
      <c r="C710" t="inlineStr">
        <is>
          <t>COMPRESSORI</t>
        </is>
      </c>
      <c r="D710" t="n">
        <v/>
      </c>
      <c r="E710" t="n">
        <v/>
      </c>
      <c r="F710" t="n">
        <v>9123.83</v>
      </c>
      <c r="G710" t="n">
        <v>9123.83</v>
      </c>
      <c r="H710" t="n">
        <v>0.334</v>
      </c>
      <c r="I710" t="n">
        <v>3047.35922</v>
      </c>
      <c r="J710" t="n">
        <v>60366</v>
      </c>
      <c r="K710" t="n">
        <v>20173.7</v>
      </c>
    </row>
    <row r="711">
      <c r="A711" t="n">
        <v>2025</v>
      </c>
      <c r="B711" t="n">
        <v>3</v>
      </c>
      <c r="C711" t="inlineStr">
        <is>
          <t>COMPRESSORI</t>
        </is>
      </c>
      <c r="D711" t="n">
        <v/>
      </c>
      <c r="E711" t="n">
        <v/>
      </c>
      <c r="F711" t="n">
        <v>10190.92</v>
      </c>
      <c r="G711" t="n">
        <v>10190.92</v>
      </c>
      <c r="H711" t="n">
        <v>0.286</v>
      </c>
      <c r="I711" t="n">
        <v>2914.60312</v>
      </c>
      <c r="J711" t="n">
        <v>58209</v>
      </c>
      <c r="K711" t="n">
        <v>16648.58</v>
      </c>
    </row>
    <row r="712">
      <c r="A712" t="n">
        <v>2025</v>
      </c>
      <c r="B712" t="n">
        <v>4</v>
      </c>
      <c r="C712" t="inlineStr">
        <is>
          <t>COMPRESSORI</t>
        </is>
      </c>
      <c r="D712" t="n">
        <v/>
      </c>
      <c r="E712" t="n">
        <v/>
      </c>
      <c r="F712" t="n">
        <v>8605.77</v>
      </c>
      <c r="G712" t="n">
        <v>8605.77</v>
      </c>
      <c r="H712" t="n">
        <v>0.2655</v>
      </c>
      <c r="I712" t="n">
        <v>2284.831935</v>
      </c>
      <c r="J712" t="n">
        <v>41269</v>
      </c>
      <c r="K712" t="n">
        <v>10956.7</v>
      </c>
    </row>
    <row r="713">
      <c r="A713" t="n">
        <v>2025</v>
      </c>
      <c r="B713" t="n">
        <v>5</v>
      </c>
      <c r="C713" t="inlineStr">
        <is>
          <t>COMPRESSORI</t>
        </is>
      </c>
      <c r="D713" t="n">
        <v/>
      </c>
      <c r="E713" t="n">
        <v/>
      </c>
      <c r="F713" t="n">
        <v>5978.01</v>
      </c>
      <c r="G713" t="n">
        <v>5978.01</v>
      </c>
      <c r="H713" t="n">
        <v>0.2575</v>
      </c>
      <c r="I713" t="n">
        <v>1539.337575</v>
      </c>
      <c r="J713" t="n">
        <v>30809</v>
      </c>
      <c r="K713" t="n">
        <v>7932.95</v>
      </c>
    </row>
    <row r="714">
      <c r="A714" t="n">
        <v>2025</v>
      </c>
      <c r="B714" t="n">
        <v>6</v>
      </c>
      <c r="C714" t="inlineStr">
        <is>
          <t>COMPRESSORI</t>
        </is>
      </c>
      <c r="D714" t="n">
        <v/>
      </c>
      <c r="E714" t="n">
        <v/>
      </c>
      <c r="F714" t="n">
        <v>6205.54</v>
      </c>
      <c r="G714" t="n">
        <v>6205.54</v>
      </c>
      <c r="H714" t="n">
        <v>0.355</v>
      </c>
      <c r="I714" t="n">
        <v>2202.9667</v>
      </c>
      <c r="J714" t="n">
        <v>33644</v>
      </c>
      <c r="K714" t="n">
        <v>11949.42</v>
      </c>
    </row>
    <row r="715">
      <c r="A715" t="n">
        <v>2025</v>
      </c>
      <c r="B715" t="n">
        <v>7</v>
      </c>
      <c r="C715" t="inlineStr">
        <is>
          <t>COMPRESSORI</t>
        </is>
      </c>
      <c r="D715" t="n">
        <v/>
      </c>
      <c r="E715" t="n">
        <v/>
      </c>
      <c r="F715" t="n">
        <v>6000</v>
      </c>
      <c r="G715" t="n">
        <v>6000</v>
      </c>
      <c r="H715" t="n">
        <v>0.296</v>
      </c>
      <c r="I715" t="n">
        <v>1776</v>
      </c>
      <c r="J715" t="n">
        <v>51483</v>
      </c>
      <c r="K715" t="n">
        <v>15262.33</v>
      </c>
    </row>
    <row r="716">
      <c r="A716" t="n">
        <v>2025</v>
      </c>
      <c r="B716" t="n">
        <v>8</v>
      </c>
      <c r="C716" t="inlineStr">
        <is>
          <t>COMPRESSORI</t>
        </is>
      </c>
      <c r="D716" t="n">
        <v/>
      </c>
      <c r="E716" t="n">
        <v/>
      </c>
      <c r="F716" t="n">
        <v>6000</v>
      </c>
      <c r="G716" t="n">
        <v>6000</v>
      </c>
      <c r="H716" t="n">
        <v>0.3268</v>
      </c>
      <c r="I716" t="n">
        <v>1960.8</v>
      </c>
      <c r="J716" t="n">
        <v>17650</v>
      </c>
      <c r="K716" t="n">
        <v>5768.63</v>
      </c>
    </row>
    <row r="717">
      <c r="A717" t="n">
        <v>2025</v>
      </c>
      <c r="B717" t="n">
        <v>9</v>
      </c>
      <c r="C717" t="inlineStr">
        <is>
          <t>COMPRESSORI</t>
        </is>
      </c>
      <c r="D717" t="n">
        <v/>
      </c>
      <c r="E717" t="n">
        <v/>
      </c>
      <c r="F717" t="n">
        <v>6000</v>
      </c>
      <c r="G717" t="n">
        <v>6000</v>
      </c>
      <c r="H717" t="n">
        <v>0.2732</v>
      </c>
      <c r="I717" t="n">
        <v>1639.2</v>
      </c>
      <c r="J717" t="n">
        <v>47214</v>
      </c>
      <c r="K717" t="n">
        <v>0</v>
      </c>
    </row>
    <row r="718">
      <c r="A718" t="n">
        <v>2025</v>
      </c>
      <c r="B718" t="n">
        <v>10</v>
      </c>
      <c r="C718" t="inlineStr">
        <is>
          <t>COMPRESSORI</t>
        </is>
      </c>
      <c r="D718" t="n">
        <v/>
      </c>
      <c r="E718" t="n">
        <v/>
      </c>
      <c r="F718" t="n">
        <v>6000</v>
      </c>
      <c r="G718" t="n">
        <v>6000</v>
      </c>
      <c r="H718" t="n">
        <v>0.2134</v>
      </c>
      <c r="I718" t="n">
        <v>1280.4</v>
      </c>
      <c r="J718" t="n">
        <v>47533</v>
      </c>
      <c r="K718" t="n">
        <v>0</v>
      </c>
    </row>
    <row r="719">
      <c r="A719" t="n">
        <v>2025</v>
      </c>
      <c r="B719" t="n">
        <v>11</v>
      </c>
      <c r="C719" t="inlineStr">
        <is>
          <t>COMPRESSORI</t>
        </is>
      </c>
      <c r="D719" t="n">
        <v/>
      </c>
      <c r="E719" t="n">
        <v/>
      </c>
      <c r="F719" t="n">
        <v/>
      </c>
      <c r="G719" t="n">
        <v/>
      </c>
      <c r="H719" t="n">
        <v>0</v>
      </c>
      <c r="I719" t="n">
        <v/>
      </c>
      <c r="J719" t="n">
        <v>0</v>
      </c>
      <c r="K719" t="n">
        <v>0</v>
      </c>
    </row>
    <row r="720">
      <c r="A720" t="n">
        <v>2025</v>
      </c>
      <c r="B720" t="n">
        <v>12</v>
      </c>
      <c r="C720" t="inlineStr">
        <is>
          <t>COMPRESSORI</t>
        </is>
      </c>
      <c r="D720" t="n">
        <v/>
      </c>
      <c r="E720" t="n">
        <v/>
      </c>
      <c r="F720" t="n">
        <v/>
      </c>
      <c r="G720" t="n">
        <v/>
      </c>
      <c r="H720" t="n">
        <v>0</v>
      </c>
      <c r="I720" t="n">
        <v/>
      </c>
      <c r="J720" t="n">
        <v>0</v>
      </c>
      <c r="K72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Federico Rosi</dc:creator>
  <dcterms:created xmlns:dcterms="http://purl.org/dc/terms/" xmlns:xsi="http://www.w3.org/2001/XMLSchema-instance" xsi:type="dcterms:W3CDTF">2025-09-02T19:47:31Z</dcterms:created>
  <dcterms:modified xmlns:dcterms="http://purl.org/dc/terms/" xmlns:xsi="http://www.w3.org/2001/XMLSchema-instance" xsi:type="dcterms:W3CDTF">2025-11-21T11:58:18Z</dcterms:modified>
  <cp:lastModifiedBy>Stefano Bonfanti</cp:lastModifiedBy>
</cp:coreProperties>
</file>